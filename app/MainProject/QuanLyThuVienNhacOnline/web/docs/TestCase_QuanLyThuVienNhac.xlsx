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Artist (Service)" sheetId="2" state="visible" r:id="rId4"/>
    <sheet name="Genre (Service)" sheetId="3" state="visible" r:id="rId5"/>
    <sheet name="Song (Service)" sheetId="4" state="visible" r:id="rId6"/>
    <sheet name="User (Service)" sheetId="5" state="visible" r:id="rId7"/>
    <sheet name="Controller" sheetId="6" state="visible" r:id="rId8"/>
    <sheet name="Exception - Khác" sheetId="7" state="visible" r:id="rId9"/>
    <sheet name="Đăng ký - Đăng nhập" sheetId="8" state="visible" r:id="rId10"/>
    <sheet name="Phát nhạc - Tìm kiếm" sheetId="9" state="visible" r:id="rId11"/>
    <sheet name="Playlist" sheetId="10" state="visible" r:id="rId12"/>
    <sheet name="Yêu thích" sheetId="11" state="visible" r:id="rId13"/>
    <sheet name="Hiệu năng JMeter" sheetId="12" state="visible" r:id="rId14"/>
  </sheets>
  <definedNames>
    <definedName function="false" hidden="true" localSheetId="1" name="_xlnm._FilterDatabase" vbProcedure="false">'Artist (Service)'!$A$1:$J$28</definedName>
    <definedName function="false" hidden="true" localSheetId="5" name="_xlnm._FilterDatabase" vbProcedure="false">Controller!$A$1:$J$40</definedName>
    <definedName function="false" hidden="true" localSheetId="7" name="_xlnm._FilterDatabase" vbProcedure="false">'Đăng ký - Đăng nhập'!$A$1:$J$27</definedName>
    <definedName function="false" hidden="true" localSheetId="6" name="_xlnm._FilterDatabase" vbProcedure="false">'Exception - Khác'!$A$1:$J$14</definedName>
    <definedName function="false" hidden="true" localSheetId="2" name="_xlnm._FilterDatabase" vbProcedure="false">'Genre (Service)'!$A$1:$J$28</definedName>
    <definedName function="false" hidden="true" localSheetId="11" name="_xlnm._FilterDatabase" vbProcedure="false">'Hiệu năng JMeter'!$A$1:$J$13</definedName>
    <definedName function="false" hidden="true" localSheetId="8" name="_xlnm._FilterDatabase" vbProcedure="false">'Phát nhạc - Tìm kiếm'!$A$1:$J$24</definedName>
    <definedName function="false" hidden="true" localSheetId="9" name="_xlnm._FilterDatabase" vbProcedure="false">Playlist!$A$1:$J$18</definedName>
    <definedName function="false" hidden="true" localSheetId="3" name="_xlnm._FilterDatabase" vbProcedure="false">'Song (Service)'!$A$1:$J$26</definedName>
    <definedName function="false" hidden="true" localSheetId="4" name="_xlnm._FilterDatabase" vbProcedure="false">'User (Service)'!$A$1:$J$22</definedName>
    <definedName function="false" hidden="true" localSheetId="10" name="_xlnm._FilterDatabase" vbProcedure="false">'Yêu thích'!$A$1:$J$13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<sst xmlns="http://schemas.openxmlformats.org/spreadsheetml/2006/main" count="2277" uniqueCount="908">
  <si>
    <t xml:space="preserve">BẢNG TEST CASE – HỆ THỐNG QUẢN LÝ THƯ VIỆN NHẠC ONLINE</t>
  </si>
  <si>
    <t xml:space="preserve">Công nghệ: Spring Boot, Spring Data JPA, Thymeleaf, MySQL | Công cụ test: JUnit 5, Mockito, MockMvc</t>
  </si>
  <si>
    <t xml:space="preserve">Cách dùng: điền cột 'Kết quả thực tế' và chọn 'Trạng thái' (Pass/Fail/Blocked) ở từng sheet; bảng dưới tự cập nhật.</t>
  </si>
  <si>
    <t xml:space="preserve">Nhóm</t>
  </si>
  <si>
    <t xml:space="preserve">Tổng TC</t>
  </si>
  <si>
    <t xml:space="preserve">Pass</t>
  </si>
  <si>
    <t xml:space="preserve">Fail</t>
  </si>
  <si>
    <t xml:space="preserve">Blocked</t>
  </si>
  <si>
    <t xml:space="preserve">Chưa test</t>
  </si>
  <si>
    <t xml:space="preserve">% Pass</t>
  </si>
  <si>
    <t xml:space="preserve">Artist (Service)</t>
  </si>
  <si>
    <t xml:space="preserve">Genre (Service)</t>
  </si>
  <si>
    <t xml:space="preserve">Song (Service)</t>
  </si>
  <si>
    <t xml:space="preserve">User (Service)</t>
  </si>
  <si>
    <t xml:space="preserve">Controller</t>
  </si>
  <si>
    <t xml:space="preserve">Exception - Khác</t>
  </si>
  <si>
    <t xml:space="preserve">Đăng ký - Đăng nhập</t>
  </si>
  <si>
    <t xml:space="preserve">Phát nhạc - Tìm kiếm</t>
  </si>
  <si>
    <t xml:space="preserve">Playlist</t>
  </si>
  <si>
    <t xml:space="preserve">Yêu thích</t>
  </si>
  <si>
    <t xml:space="preserve">Hiệu năng JMeter</t>
  </si>
  <si>
    <t xml:space="preserve">TỔNG</t>
  </si>
  <si>
    <t xml:space="preserve">Lỗi/rủi ro phát hiện khi đọc code (cần xác nhận khi test)</t>
  </si>
  <si>
    <t xml:space="preserve">1. SongServiceTest hiện có sai so với code: test 'valid' chỉ set title (code bắt buộc cả artist và genre); message mong đợi "Song title cannot be blank" nhưng code ném "không được để trống".</t>
  </si>
  <si>
    <t xml:space="preserve">2. Hệ thống chưa có chức năng Playlist và Yêu thích; phát nhạc mới chỉ là liên kết mở file (chưa có trình phát nhúng). Các test case tương ứng ở trạng thái Blocked.</t>
  </si>
  <si>
    <t xml:space="preserve">3. UserService.deleteUser không kiểm tra id tồn tại; UserController xóa bằng GET /users/delete/{id} nên bỏ qua bảo vệ CSRF.</t>
  </si>
  <si>
    <t xml:space="preserve">4. UserService.updateUser ghi đè null lên dữ liệu cũ (khác với Artist/Song).</t>
  </si>
  <si>
    <t xml:space="preserve">5. Kết quả JUnit lần chạy gần nhất: 138 test, 6 fail (lỗi D1), 0 error, 1 skipped (WebApplicationTests).</t>
  </si>
  <si>
    <t xml:space="preserve">6. JMeter (120 luồng, ramp-up 1s): trang chủ, đăng nhập nhanh; danh sách thể loại trung bình 9,291 ms và tìm kiếm thể loại 13,656 ms là rất chậm.</t>
  </si>
  <si>
    <t xml:space="preserve">7. GlobalException bắt Exception chung nên ResponseStatusException và thiếu tham số bị trả 500 thay vì 400/404.</t>
  </si>
  <si>
    <t xml:space="preserve">Mã TC</t>
  </si>
  <si>
    <t xml:space="preserve">Chức năng / Hàm</t>
  </si>
  <si>
    <t xml:space="preserve">Mô tả ca test</t>
  </si>
  <si>
    <t xml:space="preserve">Dữ liệu đầu vào</t>
  </si>
  <si>
    <t xml:space="preserve">Kết quả mong đợi</t>
  </si>
  <si>
    <t xml:space="preserve">Loại</t>
  </si>
  <si>
    <t xml:space="preserve">Ưu tiên</t>
  </si>
  <si>
    <t xml:space="preserve">Kết quả thực tế</t>
  </si>
  <si>
    <t xml:space="preserve">Trạng thái</t>
  </si>
  <si>
    <t xml:space="preserve">Ghi chú</t>
  </si>
  <si>
    <t xml:space="preserve">TC_ART_01</t>
  </si>
  <si>
    <t xml:space="preserve">getAllArtists()</t>
  </si>
  <si>
    <t xml:space="preserve">Lấy danh sách khi DB có dữ liệu</t>
  </si>
  <si>
    <t xml:space="preserve">findAll() trả 2 bản ghi</t>
  </si>
  <si>
    <t xml:space="preserve">Trả về list 2 phần tử</t>
  </si>
  <si>
    <t xml:space="preserve">Positive</t>
  </si>
  <si>
    <t xml:space="preserve">Cao</t>
  </si>
  <si>
    <t xml:space="preserve">JUnit: đạt (lần chạy mvn clean test)</t>
  </si>
  <si>
    <t xml:space="preserve">TC_ART_02</t>
  </si>
  <si>
    <t xml:space="preserve">Lấy danh sách khi DB rỗng</t>
  </si>
  <si>
    <t xml:space="preserve">findAll() trả list rỗng</t>
  </si>
  <si>
    <t xml:space="preserve">Trả về list rỗng, không lỗi</t>
  </si>
  <si>
    <t xml:space="preserve">Trung bình</t>
  </si>
  <si>
    <t xml:space="preserve">TC_ART_03</t>
  </si>
  <si>
    <t xml:space="preserve">getArtist(id)</t>
  </si>
  <si>
    <t xml:space="preserve">Lấy theo id tồn tại</t>
  </si>
  <si>
    <t xml:space="preserve">id = "1" có trong DB</t>
  </si>
  <si>
    <t xml:space="preserve">Trả về đúng Artist</t>
  </si>
  <si>
    <t xml:space="preserve">TC_ART_04</t>
  </si>
  <si>
    <t xml:space="preserve">Lấy theo id không tồn tại</t>
  </si>
  <si>
    <t xml:space="preserve">id = "999"</t>
  </si>
  <si>
    <t xml:space="preserve">Ném ResourceNotFoundException (message chứa id)</t>
  </si>
  <si>
    <t xml:space="preserve">Negative</t>
  </si>
  <si>
    <t xml:space="preserve">TC_ART_05</t>
  </si>
  <si>
    <t xml:space="preserve">searchArtistsByName(name)</t>
  </si>
  <si>
    <t xml:space="preserve">Tìm gần đúng, không phân biệt hoa/thường</t>
  </si>
  <si>
    <t xml:space="preserve">name = "abc" ; DB có "ABC Band"</t>
  </si>
  <si>
    <t xml:space="preserve">Trả về danh sách chứa bản ghi khớp</t>
  </si>
  <si>
    <t xml:space="preserve">TC_ART_06</t>
  </si>
  <si>
    <t xml:space="preserve">Tìm gần đúng không có kết quả</t>
  </si>
  <si>
    <t xml:space="preserve">name = "zzz"</t>
  </si>
  <si>
    <t xml:space="preserve">Trả về list rỗng</t>
  </si>
  <si>
    <t xml:space="preserve">TC_ART_07</t>
  </si>
  <si>
    <t xml:space="preserve">searchArtistByName(name)</t>
  </si>
  <si>
    <t xml:space="preserve">Tìm chính xác (ignore case)</t>
  </si>
  <si>
    <t xml:space="preserve">name = "abc" ; DB có "ABC"</t>
  </si>
  <si>
    <t xml:space="preserve">Trả về bản ghi "ABC"</t>
  </si>
  <si>
    <t xml:space="preserve">TC_ART_08</t>
  </si>
  <si>
    <t xml:space="preserve">Tìm chính xác không tồn tại</t>
  </si>
  <si>
    <t xml:space="preserve">Trả về null</t>
  </si>
  <si>
    <t xml:space="preserve">TC_ART_09</t>
  </si>
  <si>
    <t xml:space="preserve">createArtist(req)</t>
  </si>
  <si>
    <t xml:space="preserve">Tạo mới hợp lệ</t>
  </si>
  <si>
    <t xml:space="preserve">name = "New"</t>
  </si>
  <si>
    <t xml:space="preserve">Gọi save(), trả về đối tượng có name = "New"</t>
  </si>
  <si>
    <t xml:space="preserve">TC_ART_10</t>
  </si>
  <si>
    <t xml:space="preserve">Tên null</t>
  </si>
  <si>
    <t xml:space="preserve">name = null</t>
  </si>
  <si>
    <t xml:space="preserve">Ném BadRequestException; không gọi save()</t>
  </si>
  <si>
    <t xml:space="preserve">TC_ART_11</t>
  </si>
  <si>
    <t xml:space="preserve">Tên rỗng</t>
  </si>
  <si>
    <t xml:space="preserve">name = ""</t>
  </si>
  <si>
    <t xml:space="preserve">Ném BadRequestException</t>
  </si>
  <si>
    <t xml:space="preserve">TC_ART_12</t>
  </si>
  <si>
    <t xml:space="preserve">Tên toàn khoảng trắng</t>
  </si>
  <si>
    <t xml:space="preserve">name = "   "</t>
  </si>
  <si>
    <t xml:space="preserve">TC_ART_13</t>
  </si>
  <si>
    <t xml:space="preserve">Tên đã tồn tại</t>
  </si>
  <si>
    <t xml:space="preserve">name = "ABC" (đã có)</t>
  </si>
  <si>
    <t xml:space="preserve">Ném BadRequestException (existed)</t>
  </si>
  <si>
    <t xml:space="preserve">TC_ART_14</t>
  </si>
  <si>
    <t xml:space="preserve">Tên trùng nhưng khác hoa/thường</t>
  </si>
  <si>
    <t xml:space="preserve">TC_ART_15</t>
  </si>
  <si>
    <t xml:space="preserve">updateArtist(id, req)</t>
  </si>
  <si>
    <t xml:space="preserve">Cập nhật đầy đủ các trường</t>
  </si>
  <si>
    <t xml:space="preserve">id hợp lệ; name, country, gender, informations mới</t>
  </si>
  <si>
    <t xml:space="preserve">Các trường được cập nhật; gọi save()</t>
  </si>
  <si>
    <t xml:space="preserve">TC_ART_16</t>
  </si>
  <si>
    <t xml:space="preserve">Chỉ cập nhật trường khác null</t>
  </si>
  <si>
    <t xml:space="preserve">request chỉ có informations</t>
  </si>
  <si>
    <t xml:space="preserve">Chỉ informations đổi; các trường khác giữ nguyên</t>
  </si>
  <si>
    <t xml:space="preserve">TC_ART_17</t>
  </si>
  <si>
    <t xml:space="preserve">Giữ nguyên tên của chính nó</t>
  </si>
  <si>
    <t xml:space="preserve">name trùng tên hiện tại của id đó</t>
  </si>
  <si>
    <t xml:space="preserve">Không báo trùng; lưu thành công</t>
  </si>
  <si>
    <t xml:space="preserve">TC_ART_18</t>
  </si>
  <si>
    <t xml:space="preserve">Id không tồn tại</t>
  </si>
  <si>
    <t xml:space="preserve">Ném ResourceNotFoundException</t>
  </si>
  <si>
    <t xml:space="preserve">TC_ART_19</t>
  </si>
  <si>
    <t xml:space="preserve">Đổi sang tên của bản ghi khác</t>
  </si>
  <si>
    <t xml:space="preserve">name = tên của bản ghi id khác</t>
  </si>
  <si>
    <t xml:space="preserve">Ném BadRequestException; không save()</t>
  </si>
  <si>
    <t xml:space="preserve">TC_ART_20</t>
  </si>
  <si>
    <t xml:space="preserve">Request có name = null</t>
  </si>
  <si>
    <t xml:space="preserve">Không ném NPE; giữ nguyên tên cũ (kiểm tra lỗi tiềm ẩn)</t>
  </si>
  <si>
    <t xml:space="preserve">TC_ART_21</t>
  </si>
  <si>
    <t xml:space="preserve">deleteArtist(id)</t>
  </si>
  <si>
    <t xml:space="preserve">Xóa id tồn tại</t>
  </si>
  <si>
    <t xml:space="preserve">existsById = true</t>
  </si>
  <si>
    <t xml:space="preserve">Gọi deleteById(id) 1 lần</t>
  </si>
  <si>
    <t xml:space="preserve">TC_ART_22</t>
  </si>
  <si>
    <t xml:space="preserve">Xóa id không tồn tại</t>
  </si>
  <si>
    <t xml:space="preserve">existsById = false</t>
  </si>
  <si>
    <t xml:space="preserve">Ném ResourceNotFoundException; không gọi deleteById</t>
  </si>
  <si>
    <t xml:space="preserve">TC_ART_23</t>
  </si>
  <si>
    <t xml:space="preserve">numberOfArtists()</t>
  </si>
  <si>
    <t xml:space="preserve">Đếm số bản ghi</t>
  </si>
  <si>
    <t xml:space="preserve">count() = 5</t>
  </si>
  <si>
    <t xml:space="preserve">Trả về 5</t>
  </si>
  <si>
    <t xml:space="preserve">Thấp</t>
  </si>
  <si>
    <t xml:space="preserve">TC_ART_24</t>
  </si>
  <si>
    <t xml:space="preserve">Đếm khi rỗng</t>
  </si>
  <si>
    <t xml:space="preserve">count() = 0</t>
  </si>
  <si>
    <t xml:space="preserve">Trả về 0</t>
  </si>
  <si>
    <t xml:space="preserve">TC_ART_25</t>
  </si>
  <si>
    <t xml:space="preserve">ArtistRepository</t>
  </si>
  <si>
    <t xml:space="preserve">Tìm theo tên (contains/ignore case) trên DB thật (@DataJpaTest)</t>
  </si>
  <si>
    <t xml:space="preserve">Lưu 2 bản ghi, tìm "ab"</t>
  </si>
  <si>
    <t xml:space="preserve">Trả về đúng bản ghi chứa "ab"</t>
  </si>
  <si>
    <t xml:space="preserve">Test repository chưa có trong repo hiện tại</t>
  </si>
  <si>
    <t xml:space="preserve">TC_ART_26</t>
  </si>
  <si>
    <t xml:space="preserve">Tìm chính xác ignore case (@DataJpaTest)</t>
  </si>
  <si>
    <t xml:space="preserve">Lưu "ABC", tìm "abc"</t>
  </si>
  <si>
    <t xml:space="preserve">TC_ART_27</t>
  </si>
  <si>
    <t xml:space="preserve">Artist entity</t>
  </si>
  <si>
    <t xml:space="preserve">Id tự sinh UUID khi save</t>
  </si>
  <si>
    <t xml:space="preserve">save() entity mới</t>
  </si>
  <si>
    <t xml:space="preserve">id khác null, đúng định dạng UUID</t>
  </si>
  <si>
    <t xml:space="preserve">TC_GEN_01</t>
  </si>
  <si>
    <t xml:space="preserve">getAllGenres()</t>
  </si>
  <si>
    <t xml:space="preserve">TC_GEN_02</t>
  </si>
  <si>
    <t xml:space="preserve">TC_GEN_03</t>
  </si>
  <si>
    <t xml:space="preserve">getGenre(id)</t>
  </si>
  <si>
    <t xml:space="preserve">Trả về đúng Genre</t>
  </si>
  <si>
    <t xml:space="preserve">TC_GEN_04</t>
  </si>
  <si>
    <t xml:space="preserve">TC_GEN_05</t>
  </si>
  <si>
    <t xml:space="preserve">searchGenresByName(name)</t>
  </si>
  <si>
    <t xml:space="preserve">TC_GEN_06</t>
  </si>
  <si>
    <t xml:space="preserve">TC_GEN_07</t>
  </si>
  <si>
    <t xml:space="preserve">searchGenreByName(name)</t>
  </si>
  <si>
    <t xml:space="preserve">TC_GEN_08</t>
  </si>
  <si>
    <t xml:space="preserve">TC_GEN_09</t>
  </si>
  <si>
    <t xml:space="preserve">createGenre(req)</t>
  </si>
  <si>
    <t xml:space="preserve">TC_GEN_10</t>
  </si>
  <si>
    <t xml:space="preserve">TC_GEN_11</t>
  </si>
  <si>
    <t xml:space="preserve">TC_GEN_12</t>
  </si>
  <si>
    <t xml:space="preserve">TC_GEN_13</t>
  </si>
  <si>
    <t xml:space="preserve">TC_GEN_14</t>
  </si>
  <si>
    <t xml:space="preserve">TC_GEN_15</t>
  </si>
  <si>
    <t xml:space="preserve">updateGenre(id, req)</t>
  </si>
  <si>
    <t xml:space="preserve">id hợp lệ; name, informations mới</t>
  </si>
  <si>
    <t xml:space="preserve">TC_GEN_16</t>
  </si>
  <si>
    <t xml:space="preserve">TC_GEN_17</t>
  </si>
  <si>
    <t xml:space="preserve">TC_GEN_18</t>
  </si>
  <si>
    <t xml:space="preserve">TC_GEN_19</t>
  </si>
  <si>
    <t xml:space="preserve">TC_GEN_20</t>
  </si>
  <si>
    <t xml:space="preserve">TC_GEN_21</t>
  </si>
  <si>
    <t xml:space="preserve">deleteGenre(id)</t>
  </si>
  <si>
    <t xml:space="preserve">TC_GEN_22</t>
  </si>
  <si>
    <t xml:space="preserve">TC_GEN_23</t>
  </si>
  <si>
    <t xml:space="preserve">numberOfGenres()</t>
  </si>
  <si>
    <t xml:space="preserve">TC_GEN_24</t>
  </si>
  <si>
    <t xml:space="preserve">TC_GEN_25</t>
  </si>
  <si>
    <t xml:space="preserve">GenreRepository</t>
  </si>
  <si>
    <t xml:space="preserve">TC_GEN_26</t>
  </si>
  <si>
    <t xml:space="preserve">TC_GEN_27</t>
  </si>
  <si>
    <t xml:space="preserve">Genre entity</t>
  </si>
  <si>
    <t xml:space="preserve">TC_SNG_01</t>
  </si>
  <si>
    <t xml:space="preserve">createSong(song)</t>
  </si>
  <si>
    <t xml:space="preserve">Tạo hợp lệ</t>
  </si>
  <si>
    <t xml:space="preserve">title, artist, genre đều có giá trị</t>
  </si>
  <si>
    <t xml:space="preserve">Gọi save(); trả về Song đã lưu</t>
  </si>
  <si>
    <t xml:space="preserve">TC_SNG_02</t>
  </si>
  <si>
    <t xml:space="preserve">Thiếu title (null)</t>
  </si>
  <si>
    <t xml:space="preserve">title = null</t>
  </si>
  <si>
    <t xml:space="preserve">ResponseStatusException 400; không save()</t>
  </si>
  <si>
    <t xml:space="preserve">TC_SNG_03</t>
  </si>
  <si>
    <t xml:space="preserve">Title rỗng/khoảng trắng</t>
  </si>
  <si>
    <t xml:space="preserve">title = "  "</t>
  </si>
  <si>
    <t xml:space="preserve">ResponseStatusException 400</t>
  </si>
  <si>
    <t xml:space="preserve">TC_SNG_04</t>
  </si>
  <si>
    <t xml:space="preserve">Thiếu artist</t>
  </si>
  <si>
    <t xml:space="preserve">artist = null hoặc ""</t>
  </si>
  <si>
    <t xml:space="preserve">TC_SNG_05</t>
  </si>
  <si>
    <t xml:space="preserve">Thiếu genre</t>
  </si>
  <si>
    <t xml:space="preserve">genre = null hoặc ""</t>
  </si>
  <si>
    <t xml:space="preserve">TC_SNG_06</t>
  </si>
  <si>
    <t xml:space="preserve">Chỉ có title, thiếu artist và genre</t>
  </si>
  <si>
    <t xml:space="preserve">chỉ set title</t>
  </si>
  <si>
    <t xml:space="preserve">ResponseStatusException 400 (thông báo "không được để trống")</t>
  </si>
  <si>
    <t xml:space="preserve">TC_SNG_07</t>
  </si>
  <si>
    <t xml:space="preserve">getAllSongs()</t>
  </si>
  <si>
    <t xml:space="preserve">Có dữ liệu</t>
  </si>
  <si>
    <t xml:space="preserve">findAll() trả 3 bài</t>
  </si>
  <si>
    <t xml:space="preserve">List 3 phần tử</t>
  </si>
  <si>
    <t xml:space="preserve">TC_SNG_08</t>
  </si>
  <si>
    <t xml:space="preserve">DB rỗng</t>
  </si>
  <si>
    <t xml:space="preserve">findAll() rỗng</t>
  </si>
  <si>
    <t xml:space="preserve">List rỗng</t>
  </si>
  <si>
    <t xml:space="preserve">TC_SNG_09</t>
  </si>
  <si>
    <t xml:space="preserve">getSong(id)</t>
  </si>
  <si>
    <t xml:space="preserve">Id tồn tại</t>
  </si>
  <si>
    <t xml:space="preserve">id = "123"</t>
  </si>
  <si>
    <t xml:space="preserve">Trả về đúng Song</t>
  </si>
  <si>
    <t xml:space="preserve">TC_SNG_10</t>
  </si>
  <si>
    <t xml:space="preserve">ResponseStatusException 404</t>
  </si>
  <si>
    <t xml:space="preserve">TC_SNG_11</t>
  </si>
  <si>
    <t xml:space="preserve">updateSong(id, req)</t>
  </si>
  <si>
    <t xml:space="preserve">Cập nhật đủ 6 trường</t>
  </si>
  <si>
    <t xml:space="preserve">title, artist, genre, releaseYear, audioFilePath, duration mới</t>
  </si>
  <si>
    <t xml:space="preserve">Tất cả trường đổi; gọi save()</t>
  </si>
  <si>
    <t xml:space="preserve">TC_SNG_12</t>
  </si>
  <si>
    <t xml:space="preserve">Chỉ cập nhật một số trường</t>
  </si>
  <si>
    <t xml:space="preserve">request chỉ có title</t>
  </si>
  <si>
    <t xml:space="preserve">Chỉ title đổi; các trường còn lại giữ nguyên</t>
  </si>
  <si>
    <t xml:space="preserve">TC_SNG_13</t>
  </si>
  <si>
    <t xml:space="preserve">ResponseStatusException 404; không save()</t>
  </si>
  <si>
    <t xml:space="preserve">TC_SNG_14</t>
  </si>
  <si>
    <t xml:space="preserve">deleteSong(id)</t>
  </si>
  <si>
    <t xml:space="preserve">Gọi deleteById 1 lần</t>
  </si>
  <si>
    <t xml:space="preserve">TC_SNG_15</t>
  </si>
  <si>
    <t xml:space="preserve">ResponseStatusException 404; không deleteById</t>
  </si>
  <si>
    <t xml:space="preserve">TC_SNG_16</t>
  </si>
  <si>
    <t xml:space="preserve">searchSongs(keyword)</t>
  </si>
  <si>
    <t xml:space="preserve">Tìm theo title</t>
  </si>
  <si>
    <t xml:space="preserve">keyword = "love"</t>
  </si>
  <si>
    <t xml:space="preserve">Chỉ trả bài có title chứa "love"</t>
  </si>
  <si>
    <t xml:space="preserve">TC_SNG_17</t>
  </si>
  <si>
    <t xml:space="preserve">Tìm theo artist</t>
  </si>
  <si>
    <t xml:space="preserve">keyword = "taylor"</t>
  </si>
  <si>
    <t xml:space="preserve">Trả bài của artist khớp</t>
  </si>
  <si>
    <t xml:space="preserve">TC_SNG_18</t>
  </si>
  <si>
    <t xml:space="preserve">Tìm theo genre</t>
  </si>
  <si>
    <t xml:space="preserve">keyword = "pop"</t>
  </si>
  <si>
    <t xml:space="preserve">Trả bài thuộc genre khớp</t>
  </si>
  <si>
    <t xml:space="preserve">TC_SNG_19</t>
  </si>
  <si>
    <t xml:space="preserve">Không phân biệt hoa/thường</t>
  </si>
  <si>
    <t xml:space="preserve">keyword = "LOVE"</t>
  </si>
  <si>
    <t xml:space="preserve">Kết quả giống "love"</t>
  </si>
  <si>
    <t xml:space="preserve">TC_SNG_20</t>
  </si>
  <si>
    <t xml:space="preserve">keyword null</t>
  </si>
  <si>
    <t xml:space="preserve">null</t>
  </si>
  <si>
    <t xml:space="preserve">Trả về tất cả bài hát</t>
  </si>
  <si>
    <t xml:space="preserve">TC_SNG_21</t>
  </si>
  <si>
    <t xml:space="preserve">keyword rỗng/khoảng trắng</t>
  </si>
  <si>
    <t xml:space="preserve">"   "</t>
  </si>
  <si>
    <t xml:space="preserve">TC_SNG_22</t>
  </si>
  <si>
    <t xml:space="preserve">Không có kết quả</t>
  </si>
  <si>
    <t xml:space="preserve">keyword = "zzz"</t>
  </si>
  <si>
    <t xml:space="preserve">TC_SNG_23</t>
  </si>
  <si>
    <t xml:space="preserve">Bản ghi có trường null</t>
  </si>
  <si>
    <t xml:space="preserve">Song có artist = null</t>
  </si>
  <si>
    <t xml:space="preserve">Không ném NPE</t>
  </si>
  <si>
    <t xml:space="preserve">TC_SNG_24</t>
  </si>
  <si>
    <t xml:space="preserve">countSongs()</t>
  </si>
  <si>
    <t xml:space="preserve">Đếm tổng số</t>
  </si>
  <si>
    <t xml:space="preserve">TC_SNG_25</t>
  </si>
  <si>
    <t xml:space="preserve">SongRepository</t>
  </si>
  <si>
    <t xml:space="preserve">CRUD cơ bản (@DataJpaTest)</t>
  </si>
  <si>
    <t xml:space="preserve">save, findById, delete</t>
  </si>
  <si>
    <t xml:space="preserve">Dữ liệu lưu/đọc/xóa đúng; id UUID tự sinh</t>
  </si>
  <si>
    <t xml:space="preserve">TC_USR_01</t>
  </si>
  <si>
    <t xml:space="preserve">getUsers()</t>
  </si>
  <si>
    <t xml:space="preserve">findAll() trả 2 user</t>
  </si>
  <si>
    <t xml:space="preserve">List 2 phần tử</t>
  </si>
  <si>
    <t xml:space="preserve">TC_USR_02</t>
  </si>
  <si>
    <t xml:space="preserve">TC_USR_03</t>
  </si>
  <si>
    <t xml:space="preserve">createUser(user)</t>
  </si>
  <si>
    <t xml:space="preserve">Tạo user hợp lệ</t>
  </si>
  <si>
    <t xml:space="preserve">username, email, role, password đầy đủ</t>
  </si>
  <si>
    <t xml:space="preserve">Mật khẩu được mã hóa (khác bản rõ); gọi save()</t>
  </si>
  <si>
    <t xml:space="preserve">TC_USR_04</t>
  </si>
  <si>
    <t xml:space="preserve">Thiếu mật khẩu</t>
  </si>
  <si>
    <t xml:space="preserve">password = null / rỗng</t>
  </si>
  <si>
    <t xml:space="preserve">IllegalArgumentException; không save()</t>
  </si>
  <si>
    <t xml:space="preserve">TC_USR_05</t>
  </si>
  <si>
    <t xml:space="preserve">register(user)</t>
  </si>
  <si>
    <t xml:space="preserve">Đăng ký hợp lệ</t>
  </si>
  <si>
    <t xml:space="preserve">username, email hợp lệ; password 10 ký tự</t>
  </si>
  <si>
    <t xml:space="preserve">Trả true; role bị ép thành "User"; mật khẩu mã hóa; save()</t>
  </si>
  <si>
    <t xml:space="preserve">TC_USR_06</t>
  </si>
  <si>
    <t xml:space="preserve">Thiếu username hoặc email</t>
  </si>
  <si>
    <t xml:space="preserve">username/email null, rỗng, khoảng trắng</t>
  </si>
  <si>
    <t xml:space="preserve">Trả false; không save()</t>
  </si>
  <si>
    <t xml:space="preserve">TC_USR_07</t>
  </si>
  <si>
    <t xml:space="preserve">Mật khẩu null hoặc ngắn hơn 8 ký tự</t>
  </si>
  <si>
    <t xml:space="preserve">password = null / 7 ký tự</t>
  </si>
  <si>
    <t xml:space="preserve">TC_USR_08</t>
  </si>
  <si>
    <t xml:space="preserve">Mật khẩu đúng 8 ký tự (biên)</t>
  </si>
  <si>
    <t xml:space="preserve">password = 8 ký tự</t>
  </si>
  <si>
    <t xml:space="preserve">Trả true</t>
  </si>
  <si>
    <t xml:space="preserve">TC_USR_09</t>
  </si>
  <si>
    <t xml:space="preserve">Trùng username</t>
  </si>
  <si>
    <t xml:space="preserve">existsByUsernameIgnoreCase = true</t>
  </si>
  <si>
    <t xml:space="preserve">Trả false</t>
  </si>
  <si>
    <t xml:space="preserve">TC_USR_10</t>
  </si>
  <si>
    <t xml:space="preserve">Trùng email</t>
  </si>
  <si>
    <t xml:space="preserve">existsByEmailIgnoreCase = true</t>
  </si>
  <si>
    <t xml:space="preserve">TC_USR_11</t>
  </si>
  <si>
    <t xml:space="preserve">updateUser(id, user)</t>
  </si>
  <si>
    <t xml:space="preserve">Cập nhật hợp lệ (không đổi mật khẩu)</t>
  </si>
  <si>
    <t xml:space="preserve">id tồn tại; password trống</t>
  </si>
  <si>
    <t xml:space="preserve">3 trường đổi; mật khẩu cũ giữ nguyên</t>
  </si>
  <si>
    <t xml:space="preserve">TC_USR_12</t>
  </si>
  <si>
    <t xml:space="preserve">Cập nhật kèm mật khẩu mới</t>
  </si>
  <si>
    <t xml:space="preserve">password = "newpass99"</t>
  </si>
  <si>
    <t xml:space="preserve">Mật khẩu được mã hóa lại</t>
  </si>
  <si>
    <t xml:space="preserve">TC_USR_13</t>
  </si>
  <si>
    <t xml:space="preserve">RuntimeException("User not found")</t>
  </si>
  <si>
    <t xml:space="preserve">TC_USR_14</t>
  </si>
  <si>
    <t xml:space="preserve">Truyền trường null</t>
  </si>
  <si>
    <t xml:space="preserve">email = null</t>
  </si>
  <si>
    <t xml:space="preserve">Ghi đè null lên dữ liệu cũ – ghi nhận hành vi/lỗi</t>
  </si>
  <si>
    <t xml:space="preserve">TC_USR_15</t>
  </si>
  <si>
    <t xml:space="preserve">deleteUser(id)</t>
  </si>
  <si>
    <t xml:space="preserve">Xóa user</t>
  </si>
  <si>
    <t xml:space="preserve">id = "1"</t>
  </si>
  <si>
    <t xml:space="preserve">Gọi deleteById("1")</t>
  </si>
  <si>
    <t xml:space="preserve">TC_USR_16</t>
  </si>
  <si>
    <t xml:space="preserve">Hiện tại không báo lỗi (không kiểm tra tồn tại) – ghi nhận</t>
  </si>
  <si>
    <t xml:space="preserve">TC_USR_17</t>
  </si>
  <si>
    <t xml:space="preserve">searchUsers(keyword)</t>
  </si>
  <si>
    <t xml:space="preserve">Tìm theo username</t>
  </si>
  <si>
    <t xml:space="preserve">keyword = "john"</t>
  </si>
  <si>
    <t xml:space="preserve">Trả user khớp</t>
  </si>
  <si>
    <t xml:space="preserve">TC_USR_18</t>
  </si>
  <si>
    <t xml:space="preserve">Tìm theo email</t>
  </si>
  <si>
    <t xml:space="preserve">keyword = "@gmail"</t>
  </si>
  <si>
    <t xml:space="preserve">Trả user có email khớp</t>
  </si>
  <si>
    <t xml:space="preserve">TC_USR_19</t>
  </si>
  <si>
    <t xml:space="preserve">keyword null / rỗng / khoảng trắng</t>
  </si>
  <si>
    <t xml:space="preserve">null, "", "   "</t>
  </si>
  <si>
    <t xml:space="preserve">Trả về tất cả (findAll)</t>
  </si>
  <si>
    <t xml:space="preserve">TC_USR_20</t>
  </si>
  <si>
    <t xml:space="preserve">TC_USR_21</t>
  </si>
  <si>
    <t xml:space="preserve">UserRepository</t>
  </si>
  <si>
    <t xml:space="preserve">findByUsername...OrEmail... (@DataJpaTest)</t>
  </si>
  <si>
    <t xml:space="preserve">Lưu 2 user, tìm theo username/email, ignore case</t>
  </si>
  <si>
    <t xml:space="preserve">Trả đúng user</t>
  </si>
  <si>
    <t xml:space="preserve">TC_CTL_01</t>
  </si>
  <si>
    <t xml:space="preserve">GET /</t>
  </si>
  <si>
    <t xml:space="preserve">Trang chủ</t>
  </si>
  <si>
    <t xml:space="preserve">Request GET</t>
  </si>
  <si>
    <t xml:space="preserve">HTTP 200; view "home"</t>
  </si>
  <si>
    <t xml:space="preserve">TC_CTL_02</t>
  </si>
  <si>
    <t xml:space="preserve">GET /artists</t>
  </si>
  <si>
    <t xml:space="preserve">Hiển thị danh sách artists</t>
  </si>
  <si>
    <t xml:space="preserve">HTTP 200; view "artists"; model có artists, artistRequest, numberOfArtists</t>
  </si>
  <si>
    <t xml:space="preserve">TC_CTL_03</t>
  </si>
  <si>
    <t xml:space="preserve">GET /artists/search</t>
  </si>
  <si>
    <t xml:space="preserve">Tìm kiếm có từ khóa</t>
  </si>
  <si>
    <t xml:space="preserve">name=abc</t>
  </si>
  <si>
    <t xml:space="preserve">HTTP 200; view "artists"; model có searchQuery, numberOfArtists = số kết quả; danh sách đã lọc</t>
  </si>
  <si>
    <t xml:space="preserve">TC_CTL_04</t>
  </si>
  <si>
    <t xml:space="preserve">Từ khóa rỗng/khoảng trắng</t>
  </si>
  <si>
    <t xml:space="preserve">name="  "</t>
  </si>
  <si>
    <t xml:space="preserve">Redirect /artists</t>
  </si>
  <si>
    <t xml:space="preserve">TC_CTL_05</t>
  </si>
  <si>
    <t xml:space="preserve">Thiếu tham số bắt buộc</t>
  </si>
  <si>
    <t xml:space="preserve">không có name</t>
  </si>
  <si>
    <t xml:space="preserve">HTTP 400 (MissingServletRequestParameter)</t>
  </si>
  <si>
    <t xml:space="preserve">Trả 500, mong 400</t>
  </si>
  <si>
    <t xml:space="preserve">Lỗi D1: GlobalException bắt Exception chung</t>
  </si>
  <si>
    <t xml:space="preserve">TC_CTL_06</t>
  </si>
  <si>
    <t xml:space="preserve">POST /artists/create</t>
  </si>
  <si>
    <t xml:space="preserve">Form hợp lệ</t>
  </si>
  <si>
    <t xml:space="preserve">Redirect /artists; service.create được gọi</t>
  </si>
  <si>
    <t xml:space="preserve">TC_CTL_07</t>
  </si>
  <si>
    <t xml:space="preserve">Dữ liệu không hợp lệ</t>
  </si>
  <si>
    <t xml:space="preserve">Form thiếu/rỗng/trùng (service ném lỗi)</t>
  </si>
  <si>
    <t xml:space="preserve">HTTP 400, hiển thị trang lỗi</t>
  </si>
  <si>
    <t xml:space="preserve">TC_CTL_08</t>
  </si>
  <si>
    <t xml:space="preserve">POST /artists/update/{id}</t>
  </si>
  <si>
    <t xml:space="preserve">Cập nhật hợp lệ</t>
  </si>
  <si>
    <t xml:space="preserve">id hợp lệ, form hợp lệ</t>
  </si>
  <si>
    <t xml:space="preserve">TC_CTL_09</t>
  </si>
  <si>
    <t xml:space="preserve">id = 999</t>
  </si>
  <si>
    <t xml:space="preserve">HTTP 404, trang lỗi</t>
  </si>
  <si>
    <t xml:space="preserve">TC_CTL_10</t>
  </si>
  <si>
    <t xml:space="preserve">POST /artists/delete/{id}</t>
  </si>
  <si>
    <t xml:space="preserve">Xóa hợp lệ</t>
  </si>
  <si>
    <t xml:space="preserve">id hợp lệ</t>
  </si>
  <si>
    <t xml:space="preserve">TC_CTL_11</t>
  </si>
  <si>
    <t xml:space="preserve">TC_CTL_12</t>
  </si>
  <si>
    <t xml:space="preserve">GET /genres</t>
  </si>
  <si>
    <t xml:space="preserve">Hiển thị danh sách genres</t>
  </si>
  <si>
    <t xml:space="preserve">HTTP 200; view "genres"; model có genres, genreRequest, numberOfGenres</t>
  </si>
  <si>
    <t xml:space="preserve">TC_CTL_13</t>
  </si>
  <si>
    <t xml:space="preserve">GET /genres/search</t>
  </si>
  <si>
    <t xml:space="preserve">HTTP 200; view "genres"; model có searchQuery, numberOfGenres = số kết quả; danh sách đã lọc</t>
  </si>
  <si>
    <t xml:space="preserve">TC_CTL_14</t>
  </si>
  <si>
    <t xml:space="preserve">Redirect /genres</t>
  </si>
  <si>
    <t xml:space="preserve">TC_CTL_15</t>
  </si>
  <si>
    <t xml:space="preserve">TC_CTL_16</t>
  </si>
  <si>
    <t xml:space="preserve">POST /genres/create</t>
  </si>
  <si>
    <t xml:space="preserve">Redirect /genres; service.create được gọi</t>
  </si>
  <si>
    <t xml:space="preserve">TC_CTL_17</t>
  </si>
  <si>
    <t xml:space="preserve">TC_CTL_18</t>
  </si>
  <si>
    <t xml:space="preserve">POST /genres/update/{id}</t>
  </si>
  <si>
    <t xml:space="preserve">TC_CTL_19</t>
  </si>
  <si>
    <t xml:space="preserve">TC_CTL_20</t>
  </si>
  <si>
    <t xml:space="preserve">POST /genres/delete/{id}</t>
  </si>
  <si>
    <t xml:space="preserve">TC_CTL_21</t>
  </si>
  <si>
    <t xml:space="preserve">TC_CTL_22</t>
  </si>
  <si>
    <t xml:space="preserve">GET /songs</t>
  </si>
  <si>
    <t xml:space="preserve">Hiển thị danh sách songs</t>
  </si>
  <si>
    <t xml:space="preserve">HTTP 200; view "songs"; model có songs, numberOfSongs, songRequest</t>
  </si>
  <si>
    <t xml:space="preserve">TC_CTL_23</t>
  </si>
  <si>
    <t xml:space="preserve">GET /songs/search</t>
  </si>
  <si>
    <t xml:space="preserve">keyword=abc</t>
  </si>
  <si>
    <t xml:space="preserve">HTTP 200; view "songs"; model có searchQuery, numberOfSongs, songRequest; danh sách đã lọc</t>
  </si>
  <si>
    <t xml:space="preserve">TC_CTL_24</t>
  </si>
  <si>
    <t xml:space="preserve">Không truyền keyword (tham số không bắt buộc)</t>
  </si>
  <si>
    <t xml:space="preserve">không có keyword</t>
  </si>
  <si>
    <t xml:space="preserve">HTTP 200; trả tất cả bài hát</t>
  </si>
  <si>
    <t xml:space="preserve">TC_CTL_25</t>
  </si>
  <si>
    <t xml:space="preserve">POST /songs/create</t>
  </si>
  <si>
    <t xml:space="preserve">Redirect /songs; service.create được gọi</t>
  </si>
  <si>
    <t xml:space="preserve">TC_CTL_26</t>
  </si>
  <si>
    <t xml:space="preserve">Lỗi D1: ResponseStatusException bị bắt thành 500</t>
  </si>
  <si>
    <t xml:space="preserve">TC_CTL_27</t>
  </si>
  <si>
    <t xml:space="preserve">POST /songs/update/{id}</t>
  </si>
  <si>
    <t xml:space="preserve">Redirect /songs</t>
  </si>
  <si>
    <t xml:space="preserve">TC_CTL_28</t>
  </si>
  <si>
    <t xml:space="preserve">Trả 500, mong 404</t>
  </si>
  <si>
    <t xml:space="preserve">TC_CTL_29</t>
  </si>
  <si>
    <t xml:space="preserve">POST /songs/delete/{id}</t>
  </si>
  <si>
    <t xml:space="preserve">TC_CTL_30</t>
  </si>
  <si>
    <t xml:space="preserve">TC_CTL_31</t>
  </si>
  <si>
    <t xml:space="preserve">GET /users</t>
  </si>
  <si>
    <t xml:space="preserve">Hiển thị danh sách users</t>
  </si>
  <si>
    <t xml:space="preserve">HTTP 200; view "users"; model có users, userRequest</t>
  </si>
  <si>
    <t xml:space="preserve">TC_CTL_32</t>
  </si>
  <si>
    <t xml:space="preserve">GET /users/search</t>
  </si>
  <si>
    <t xml:space="preserve">HTTP 200; view "users"; model có users, userRequest, searchQuery; danh sách đã lọc</t>
  </si>
  <si>
    <t xml:space="preserve">TC_CTL_33</t>
  </si>
  <si>
    <t xml:space="preserve">Từ khóa rỗng</t>
  </si>
  <si>
    <t xml:space="preserve">keyword=""</t>
  </si>
  <si>
    <t xml:space="preserve">HTTP 200; trả tất cả user</t>
  </si>
  <si>
    <t xml:space="preserve">TC_CTL_34</t>
  </si>
  <si>
    <t xml:space="preserve">HTTP 400</t>
  </si>
  <si>
    <t xml:space="preserve">TC_CTL_35</t>
  </si>
  <si>
    <t xml:space="preserve">POST /users/create</t>
  </si>
  <si>
    <t xml:space="preserve">Redirect /users; service.create được gọi</t>
  </si>
  <si>
    <t xml:space="preserve">TC_CTL_36</t>
  </si>
  <si>
    <t xml:space="preserve">Chưa có test tự động</t>
  </si>
  <si>
    <t xml:space="preserve">TC_CTL_37</t>
  </si>
  <si>
    <t xml:space="preserve">POST /users/update/{id}</t>
  </si>
  <si>
    <t xml:space="preserve">Redirect /users</t>
  </si>
  <si>
    <t xml:space="preserve">TC_CTL_38</t>
  </si>
  <si>
    <t xml:space="preserve">HTTP 500 (RuntimeException "User not found")</t>
  </si>
  <si>
    <t xml:space="preserve">TC_CTL_39</t>
  </si>
  <si>
    <t xml:space="preserve">GET /users/delete/{id}</t>
  </si>
  <si>
    <t xml:space="preserve">Redirect /users; service.deleteUser được gọi (lưu ý: xóa bằng GET – rủi ro CSRF)</t>
  </si>
  <si>
    <t xml:space="preserve">TC_OTH_01</t>
  </si>
  <si>
    <t xml:space="preserve">GlobalException</t>
  </si>
  <si>
    <t xml:space="preserve">ResourceNotFoundException</t>
  </si>
  <si>
    <t xml:space="preserve">Controller ném ResourceNotFoundException("x")</t>
  </si>
  <si>
    <t xml:space="preserve">HTTP 404; view "404"; errorMessage = "x"</t>
  </si>
  <si>
    <t xml:space="preserve">TC_OTH_02</t>
  </si>
  <si>
    <t xml:space="preserve">BadRequestException</t>
  </si>
  <si>
    <t xml:space="preserve">Controller ném BadRequestException("x")</t>
  </si>
  <si>
    <t xml:space="preserve">HTTP 400; view "500"; errorMessage bắt đầu "Yêu cầu không hợp lệ: "</t>
  </si>
  <si>
    <t xml:space="preserve">TC_OTH_03</t>
  </si>
  <si>
    <t xml:space="preserve">Exception bất kỳ</t>
  </si>
  <si>
    <t xml:space="preserve">Controller ném RuntimeException("x")</t>
  </si>
  <si>
    <t xml:space="preserve">HTTP 500; view "500"; errorMessage bắt đầu "Đã có lỗi không mong muốn xảy ra: "</t>
  </si>
  <si>
    <t xml:space="preserve">TC_OTH_04</t>
  </si>
  <si>
    <t xml:space="preserve">Exception class</t>
  </si>
  <si>
    <t xml:space="preserve">ResourceNotFoundException / BadRequestException mang đúng message</t>
  </si>
  <si>
    <t xml:space="preserve">new ...("msg")</t>
  </si>
  <si>
    <t xml:space="preserve">getMessage() = "msg"; có @ResponseStatus đúng</t>
  </si>
  <si>
    <t xml:space="preserve">TC_OTH_05</t>
  </si>
  <si>
    <t xml:space="preserve">Ứng dụng</t>
  </si>
  <si>
    <t xml:space="preserve">Spring context khởi động</t>
  </si>
  <si>
    <t xml:space="preserve">@SpringBootTest contextLoads</t>
  </si>
  <si>
    <t xml:space="preserve">Context nạp thành công (cần cấu hình DB test: H2 hoặc biến DB_PASSWORD)</t>
  </si>
  <si>
    <t xml:space="preserve">Test bị @Disabled</t>
  </si>
  <si>
    <t xml:space="preserve">Cần khởi động toàn bộ ứng dụng (Security + DB thật)</t>
  </si>
  <si>
    <t xml:space="preserve">TC_OTH_06</t>
  </si>
  <si>
    <t xml:space="preserve">Integration</t>
  </si>
  <si>
    <t xml:space="preserve">Luồng Artist: create → get → update → delete</t>
  </si>
  <si>
    <t xml:space="preserve">Gọi service với DB test, @Transactional</t>
  </si>
  <si>
    <t xml:space="preserve">Mỗi bước đúng; sau delete không còn trong DB</t>
  </si>
  <si>
    <t xml:space="preserve">TC_OTH_07</t>
  </si>
  <si>
    <t xml:space="preserve">Luồng Genre: create → get → update → delete</t>
  </si>
  <si>
    <t xml:space="preserve">như trên</t>
  </si>
  <si>
    <t xml:space="preserve">TC_OTH_08</t>
  </si>
  <si>
    <t xml:space="preserve">Luồng Song: create → get → update → search → delete</t>
  </si>
  <si>
    <t xml:space="preserve">TC_OTH_09</t>
  </si>
  <si>
    <t xml:space="preserve">Luồng User: create → update → search → delete</t>
  </si>
  <si>
    <t xml:space="preserve">TC_OTH_10</t>
  </si>
  <si>
    <t xml:space="preserve">UI (Thymeleaf)</t>
  </si>
  <si>
    <t xml:space="preserve">Trang home/artists/genres/songs/users hiển thị đúng</t>
  </si>
  <si>
    <t xml:space="preserve">Mở từng trang trên trình duyệt</t>
  </si>
  <si>
    <t xml:space="preserve">Hiển thị đúng bố cục, số lượng, danh sách; CSS/ảnh tải được</t>
  </si>
  <si>
    <t xml:space="preserve">TC_OTH_11</t>
  </si>
  <si>
    <t xml:space="preserve">Form thêm/sửa/xóa/tìm kiếm trên từng trang</t>
  </si>
  <si>
    <t xml:space="preserve">Thao tác thực tế trên giao diện</t>
  </si>
  <si>
    <t xml:space="preserve">Dữ liệu thay đổi đúng, danh sách cập nhật, giữ từ khóa tìm kiếm</t>
  </si>
  <si>
    <t xml:space="preserve">TC_OTH_12</t>
  </si>
  <si>
    <t xml:space="preserve">Trang lỗi 404 và 500</t>
  </si>
  <si>
    <t xml:space="preserve">Truy cập id không tồn tại / gây lỗi</t>
  </si>
  <si>
    <t xml:space="preserve">Hiển thị đúng trang lỗi và thông báo</t>
  </si>
  <si>
    <t xml:space="preserve">TC_OTH_13</t>
  </si>
  <si>
    <t xml:space="preserve">Bảo mật</t>
  </si>
  <si>
    <t xml:space="preserve">Cấu hình nhạy cảm</t>
  </si>
  <si>
    <t xml:space="preserve">Xem application.properties</t>
  </si>
  <si>
    <t xml:space="preserve">Mật khẩu DB lấy từ biến môi trường; không hardcode</t>
  </si>
  <si>
    <t xml:space="preserve">TC_AUT_01</t>
  </si>
  <si>
    <t xml:space="preserve">Đăng ký</t>
  </si>
  <si>
    <t xml:space="preserve">Đăng ký thành công</t>
  </si>
  <si>
    <t xml:space="preserve">POST /register: username, email chưa dùng; mật khẩu &gt;= 8 ký tự</t>
  </si>
  <si>
    <t xml:space="preserve">Redirect /login?registered; hiện thông báo đăng ký thành công; role = User</t>
  </si>
  <si>
    <t xml:space="preserve">TC_AUT_02</t>
  </si>
  <si>
    <t xml:space="preserve">Bỏ trống username</t>
  </si>
  <si>
    <t xml:space="preserve">username rỗng</t>
  </si>
  <si>
    <t xml:space="preserve">Redirect /register?error; không tạo tài khoản</t>
  </si>
  <si>
    <t xml:space="preserve">TC_AUT_03</t>
  </si>
  <si>
    <t xml:space="preserve">Bỏ trống email</t>
  </si>
  <si>
    <t xml:space="preserve">email rỗng</t>
  </si>
  <si>
    <t xml:space="preserve">Redirect /register?error</t>
  </si>
  <si>
    <t xml:space="preserve">TC_AUT_04</t>
  </si>
  <si>
    <t xml:space="preserve">Mật khẩu ngắn hơn 8 ký tự</t>
  </si>
  <si>
    <t xml:space="preserve">password = 7 ký tự</t>
  </si>
  <si>
    <t xml:space="preserve">TC_AUT_05</t>
  </si>
  <si>
    <t xml:space="preserve">TC_AUT_06</t>
  </si>
  <si>
    <t xml:space="preserve">Trùng username (khác hoa/thường)</t>
  </si>
  <si>
    <t xml:space="preserve">"John" khi đã có "john"</t>
  </si>
  <si>
    <t xml:space="preserve">TC_AUT_07</t>
  </si>
  <si>
    <t xml:space="preserve">Trùng email (khác hoa/thường)</t>
  </si>
  <si>
    <t xml:space="preserve">"A@x.com" khi đã có "a@x.com"</t>
  </si>
  <si>
    <t xml:space="preserve">TC_AUT_08</t>
  </si>
  <si>
    <t xml:space="preserve">Người dùng tự gửi role = Admin</t>
  </si>
  <si>
    <t xml:space="preserve">Form có thêm role=Admin</t>
  </si>
  <si>
    <t xml:space="preserve">Role vẫn bị ép về "User" (chống leo thang quyền)</t>
  </si>
  <si>
    <t xml:space="preserve">TC_AUT_09</t>
  </si>
  <si>
    <t xml:space="preserve">Mật khẩu lưu trong DB</t>
  </si>
  <si>
    <t xml:space="preserve">Xem cột password_hash sau khi đăng ký</t>
  </si>
  <si>
    <t xml:space="preserve">Là chuỗi BCrypt ($2a$...), không phải mật khẩu rõ</t>
  </si>
  <si>
    <t xml:space="preserve">TC_AUT_10</t>
  </si>
  <si>
    <t xml:space="preserve">Ký tự đặc biệt / script trong username</t>
  </si>
  <si>
    <t xml:space="preserve">username = &lt;script&gt;alert(1)&lt;/script&gt;</t>
  </si>
  <si>
    <t xml:space="preserve">Không thực thi script khi hiển thị lại (Thymeleaf th:text escape)</t>
  </si>
  <si>
    <t xml:space="preserve">TC_AUT_11</t>
  </si>
  <si>
    <t xml:space="preserve">Đăng nhập</t>
  </si>
  <si>
    <t xml:space="preserve">Đăng nhập đúng tài khoản</t>
  </si>
  <si>
    <t xml:space="preserve">POST /login: username + password hợp lệ</t>
  </si>
  <si>
    <t xml:space="preserve">Redirect về trang trước đó hoặc "/"; thanh điều hướng hiện nút Logout</t>
  </si>
  <si>
    <t xml:space="preserve">TC_AUT_12</t>
  </si>
  <si>
    <t xml:space="preserve">Sai mật khẩu</t>
  </si>
  <si>
    <t xml:space="preserve">password sai</t>
  </si>
  <si>
    <t xml:space="preserve">Redirect /login?error; hiện cảnh báo; không tạo phiên</t>
  </si>
  <si>
    <t xml:space="preserve">TC_AUT_13</t>
  </si>
  <si>
    <t xml:space="preserve">Username không tồn tại</t>
  </si>
  <si>
    <t xml:space="preserve">username lạ</t>
  </si>
  <si>
    <t xml:space="preserve">Redirect /login?error; cùng thông báo như sai mật khẩu (không lộ username có tồn tại)</t>
  </si>
  <si>
    <t xml:space="preserve">TC_AUT_14</t>
  </si>
  <si>
    <t xml:space="preserve">Username khác hoa/thường</t>
  </si>
  <si>
    <t xml:space="preserve">"JOHN" khi tài khoản là "john"</t>
  </si>
  <si>
    <t xml:space="preserve">Đăng nhập được (findByUsernameIgnoreCase)</t>
  </si>
  <si>
    <t xml:space="preserve">TC_AUT_15</t>
  </si>
  <si>
    <t xml:space="preserve">Bỏ trống username/password</t>
  </si>
  <si>
    <t xml:space="preserve">để trống</t>
  </si>
  <si>
    <t xml:space="preserve">Redirect /login?error</t>
  </si>
  <si>
    <t xml:space="preserve">TC_AUT_16</t>
  </si>
  <si>
    <t xml:space="preserve">SQL injection</t>
  </si>
  <si>
    <t xml:space="preserve">username = ' OR '1'='1</t>
  </si>
  <si>
    <t xml:space="preserve">TC_AUT_17</t>
  </si>
  <si>
    <t xml:space="preserve">Tài khoản chưa có mật khẩu (dữ liệu cũ)</t>
  </si>
  <si>
    <t xml:space="preserve">password_hash null/rỗng</t>
  </si>
  <si>
    <t xml:space="preserve">Không đăng nhập được</t>
  </si>
  <si>
    <t xml:space="preserve">TC_AUT_18</t>
  </si>
  <si>
    <t xml:space="preserve">Truy cập trang yêu cầu đăng nhập khi chưa login</t>
  </si>
  <si>
    <t xml:space="preserve">GET /songs (chưa đăng nhập)</t>
  </si>
  <si>
    <t xml:space="preserve">Redirect (302) về /login</t>
  </si>
  <si>
    <t xml:space="preserve">TC_AUT_19</t>
  </si>
  <si>
    <t xml:space="preserve">Truy cập trang chủ khi chưa đăng nhập</t>
  </si>
  <si>
    <t xml:space="preserve">200 (trang công khai)</t>
  </si>
  <si>
    <t xml:space="preserve">TC_AUT_20</t>
  </si>
  <si>
    <t xml:space="preserve">POST không có CSRF token</t>
  </si>
  <si>
    <t xml:space="preserve">POST /songs/create thiếu _csrf</t>
  </si>
  <si>
    <t xml:space="preserve">HTTP 403</t>
  </si>
  <si>
    <t xml:space="preserve">TC_AUT_21</t>
  </si>
  <si>
    <t xml:space="preserve">Đăng xuất</t>
  </si>
  <si>
    <t xml:space="preserve">POST /logout</t>
  </si>
  <si>
    <t xml:space="preserve">Redirect /login?logout; xóa cookie JSESSIONID; phiên bị hủy</t>
  </si>
  <si>
    <t xml:space="preserve">TC_AUT_22</t>
  </si>
  <si>
    <t xml:space="preserve">Quay lại bằng nút Back sau khi đăng xuất</t>
  </si>
  <si>
    <t xml:space="preserve">Back rồi tải lại trang /songs</t>
  </si>
  <si>
    <t xml:space="preserve">Bị chuyển về /login</t>
  </si>
  <si>
    <t xml:space="preserve">TC_AUT_23</t>
  </si>
  <si>
    <t xml:space="preserve">Phân quyền</t>
  </si>
  <si>
    <t xml:space="preserve">User thường truy cập /users</t>
  </si>
  <si>
    <t xml:space="preserve">Role User gọi GET /users</t>
  </si>
  <si>
    <t xml:space="preserve">TC_AUT_24</t>
  </si>
  <si>
    <t xml:space="preserve">Admin truy cập /users</t>
  </si>
  <si>
    <t xml:space="preserve">Role Admin gọi GET /users</t>
  </si>
  <si>
    <t xml:space="preserve">HTTP 200; hiển thị danh sách người dùng</t>
  </si>
  <si>
    <t xml:space="preserve">TC_AUT_25</t>
  </si>
  <si>
    <t xml:space="preserve">Role "Admin" (không phân biệt hoa/thường)</t>
  </si>
  <si>
    <t xml:space="preserve">role = "admin"</t>
  </si>
  <si>
    <t xml:space="preserve">Được ánh xạ thành ROLE_ADMIN</t>
  </si>
  <si>
    <t xml:space="preserve">TC_AUT_26</t>
  </si>
  <si>
    <t xml:space="preserve">Xóa người dùng bằng GET /users/delete/{id}</t>
  </si>
  <si>
    <t xml:space="preserve">Admin gửi GET (hoặc thẻ &lt;img src&gt;)</t>
  </si>
  <si>
    <t xml:space="preserve">Nên chỉ cho phép POST kèm CSRF; hiện tại GET xóa được (lỗi D2)</t>
  </si>
  <si>
    <t xml:space="preserve">TC_PLY_01</t>
  </si>
  <si>
    <t xml:space="preserve">Tìm kiếm</t>
  </si>
  <si>
    <t xml:space="preserve">Tìm theo tên bài hát</t>
  </si>
  <si>
    <t xml:space="preserve">GET /songs/search?keyword=love</t>
  </si>
  <si>
    <t xml:space="preserve">Chỉ hiển thị bài có tên chứa "love"</t>
  </si>
  <si>
    <t xml:space="preserve">TC_PLY_02</t>
  </si>
  <si>
    <t xml:space="preserve">Tìm theo nghệ sĩ</t>
  </si>
  <si>
    <t xml:space="preserve">keyword = tên nghệ sĩ</t>
  </si>
  <si>
    <t xml:space="preserve">Hiển thị bài của nghệ sĩ đó</t>
  </si>
  <si>
    <t xml:space="preserve">TC_PLY_03</t>
  </si>
  <si>
    <t xml:space="preserve">Tìm theo thể loại</t>
  </si>
  <si>
    <t xml:space="preserve">Hiển thị bài thuộc thể loại pop</t>
  </si>
  <si>
    <t xml:space="preserve">TC_PLY_04</t>
  </si>
  <si>
    <t xml:space="preserve">"LOVE" và "love"</t>
  </si>
  <si>
    <t xml:space="preserve">Kết quả giống nhau</t>
  </si>
  <si>
    <t xml:space="preserve">TC_PLY_05</t>
  </si>
  <si>
    <t xml:space="preserve">Từ khóa rỗng / không truyền keyword</t>
  </si>
  <si>
    <t xml:space="preserve">keyword = "" hoặc bỏ tham số</t>
  </si>
  <si>
    <t xml:space="preserve">Hiển thị toàn bộ bài hát</t>
  </si>
  <si>
    <t xml:space="preserve">TC_PLY_06</t>
  </si>
  <si>
    <t xml:space="preserve">keyword = "zzzz"</t>
  </si>
  <si>
    <t xml:space="preserve">Danh sách rỗng; số lượng = 0; không lỗi</t>
  </si>
  <si>
    <t xml:space="preserve">TC_PLY_07</t>
  </si>
  <si>
    <t xml:space="preserve">Ký tự đặc biệt</t>
  </si>
  <si>
    <t xml:space="preserve">keyword = %, _, ', "</t>
  </si>
  <si>
    <t xml:space="preserve">Không lỗi 500; không bị SQL injection</t>
  </si>
  <si>
    <t xml:space="preserve">TC_PLY_08</t>
  </si>
  <si>
    <t xml:space="preserve">Tiếng Việt có dấu</t>
  </si>
  <si>
    <t xml:space="preserve">keyword = "Mưa"</t>
  </si>
  <si>
    <t xml:space="preserve">Tìm đúng bài có chữ "Mưa"</t>
  </si>
  <si>
    <t xml:space="preserve">TC_PLY_09</t>
  </si>
  <si>
    <t xml:space="preserve">Từ khóa rất dài</t>
  </si>
  <si>
    <t xml:space="preserve">keyword 1000 ký tự</t>
  </si>
  <si>
    <t xml:space="preserve">Không lỗi; trả về rỗng</t>
  </si>
  <si>
    <t xml:space="preserve">TC_PLY_10</t>
  </si>
  <si>
    <t xml:space="preserve">Giữ từ khóa trên ô tìm kiếm</t>
  </si>
  <si>
    <t xml:space="preserve">Sau khi tìm</t>
  </si>
  <si>
    <t xml:space="preserve">Ô tìm kiếm còn nguyên từ khóa (searchQuery)</t>
  </si>
  <si>
    <t xml:space="preserve">TC_PLY_11</t>
  </si>
  <si>
    <t xml:space="preserve">Tìm kiếm khi chưa đăng nhập</t>
  </si>
  <si>
    <t xml:space="preserve">GET /songs/search chưa có phiên</t>
  </si>
  <si>
    <t xml:space="preserve">Redirect về /login</t>
  </si>
  <si>
    <t xml:space="preserve">TC_PLY_12</t>
  </si>
  <si>
    <t xml:space="preserve">Phát nhạc</t>
  </si>
  <si>
    <t xml:space="preserve">Mở file âm thanh từ cột Audio File Path</t>
  </si>
  <si>
    <t xml:space="preserve">Bấm biểu tượng ở cột Audio File Path (URL hợp lệ)</t>
  </si>
  <si>
    <t xml:space="preserve">Mở file/URL trong tab mới (target=_blank)</t>
  </si>
  <si>
    <t xml:space="preserve">TC_PLY_13</t>
  </si>
  <si>
    <t xml:space="preserve">Bài không có đường dẫn file</t>
  </si>
  <si>
    <t xml:space="preserve">audioFilePath = null</t>
  </si>
  <si>
    <t xml:space="preserve">Không có liên kết; không lỗi 500</t>
  </si>
  <si>
    <t xml:space="preserve">TC_PLY_14</t>
  </si>
  <si>
    <t xml:space="preserve">Đường dẫn file sai</t>
  </si>
  <si>
    <t xml:space="preserve">audioFilePath trỏ tới file không tồn tại</t>
  </si>
  <si>
    <t xml:space="preserve">Trình duyệt báo 404; hệ thống không kiểm tra đường dẫn (ghi nhận)</t>
  </si>
  <si>
    <t xml:space="preserve">TC_PLY_15</t>
  </si>
  <si>
    <t xml:space="preserve">Đường dẫn dạng javascript:</t>
  </si>
  <si>
    <t xml:space="preserve">audioFilePath = javascript:alert(1)</t>
  </si>
  <si>
    <t xml:space="preserve">Nên bị từ chối; hiện tại không kiểm tra (rủi ro XSS khi bấm liên kết)</t>
  </si>
  <si>
    <t xml:space="preserve">TC_PLY_16</t>
  </si>
  <si>
    <t xml:space="preserve">Trường Audio File Path bắt buộc trên form thêm</t>
  </si>
  <si>
    <t xml:space="preserve">Để trống Audio File Path</t>
  </si>
  <si>
    <t xml:space="preserve">Trình duyệt chặn gửi form (required)</t>
  </si>
  <si>
    <t xml:space="preserve">TC_PLY_17</t>
  </si>
  <si>
    <t xml:space="preserve">Trình phát nhúng: nút Play/Pause</t>
  </si>
  <si>
    <t xml:space="preserve">Bấm Play rồi Pause</t>
  </si>
  <si>
    <t xml:space="preserve">Phát và tạm dừng tại chỗ</t>
  </si>
  <si>
    <t xml:space="preserve">Hệ thống chưa có trình phát nhúng; chỉ có liên kết mở file ở cột Audio File Path</t>
  </si>
  <si>
    <t xml:space="preserve">TC_PLY_18</t>
  </si>
  <si>
    <t xml:space="preserve">Trình phát nhúng: chuyển bài khi đang phát</t>
  </si>
  <si>
    <t xml:space="preserve">Bấm Play bài khác</t>
  </si>
  <si>
    <t xml:space="preserve">Bài cũ dừng, bài mới phát</t>
  </si>
  <si>
    <t xml:space="preserve">TC_PLY_19</t>
  </si>
  <si>
    <t xml:space="preserve">Quản lý bài hát</t>
  </si>
  <si>
    <t xml:space="preserve">Thêm bài hát hợp lệ qua giao diện</t>
  </si>
  <si>
    <t xml:space="preserve">Nhập tên, nghệ sĩ, thể loại, đường dẫn</t>
  </si>
  <si>
    <t xml:space="preserve">Bài mới xuất hiện trong danh sách</t>
  </si>
  <si>
    <t xml:space="preserve">TC_PLY_20</t>
  </si>
  <si>
    <t xml:space="preserve">Thêm bài hát thiếu tên/nghệ sĩ/thể loại</t>
  </si>
  <si>
    <t xml:space="preserve">Để trống 1 trường</t>
  </si>
  <si>
    <t xml:space="preserve">Bị từ chối (400)</t>
  </si>
  <si>
    <t xml:space="preserve">TC_PLY_21</t>
  </si>
  <si>
    <t xml:space="preserve">Sửa bài hát</t>
  </si>
  <si>
    <t xml:space="preserve">Đổi tên bài</t>
  </si>
  <si>
    <t xml:space="preserve">Danh sách cập nhật tên mới</t>
  </si>
  <si>
    <t xml:space="preserve">TC_PLY_22</t>
  </si>
  <si>
    <t xml:space="preserve">Xóa bài hát</t>
  </si>
  <si>
    <t xml:space="preserve">Bấm Xóa rồi xác nhận</t>
  </si>
  <si>
    <t xml:space="preserve">Bài biến mất khỏi danh sách; số lượng giảm 1</t>
  </si>
  <si>
    <t xml:space="preserve">TC_PLY_23</t>
  </si>
  <si>
    <t xml:space="preserve">Năm phát hành không hợp lệ</t>
  </si>
  <si>
    <t xml:space="preserve">releaseYear = chữ / số âm</t>
  </si>
  <si>
    <t xml:space="preserve">Báo lỗi, không lỗi 500</t>
  </si>
  <si>
    <t xml:space="preserve">TC_PLL_01</t>
  </si>
  <si>
    <t xml:space="preserve">Tạo playlist</t>
  </si>
  <si>
    <t xml:space="preserve">Tạo playlist hợp lệ</t>
  </si>
  <si>
    <t xml:space="preserve">name = "Nhạc buổi sáng"</t>
  </si>
  <si>
    <t xml:space="preserve">Playlist xuất hiện trong danh sách của người dùng</t>
  </si>
  <si>
    <t xml:space="preserve">Chưa triển khai trong hệ thống (không có entity/controller/giao diện); test viết sẵn theo yêu cầu đề tài</t>
  </si>
  <si>
    <t xml:space="preserve">TC_PLL_02</t>
  </si>
  <si>
    <t xml:space="preserve">Tên rỗng / khoảng trắng</t>
  </si>
  <si>
    <t xml:space="preserve">Từ chối; báo lỗi</t>
  </si>
  <si>
    <t xml:space="preserve">TC_PLL_03</t>
  </si>
  <si>
    <t xml:space="preserve">Trùng tên trong cùng một người dùng</t>
  </si>
  <si>
    <t xml:space="preserve">Tạo lại "Nhạc buổi sáng"</t>
  </si>
  <si>
    <t xml:space="preserve">Từ chối hoặc báo trùng</t>
  </si>
  <si>
    <t xml:space="preserve">TC_PLL_04</t>
  </si>
  <si>
    <t xml:space="preserve">Tên quá dài</t>
  </si>
  <si>
    <t xml:space="preserve">name 300 ký tự</t>
  </si>
  <si>
    <t xml:space="preserve">TC_PLL_05</t>
  </si>
  <si>
    <t xml:space="preserve">Hai người dùng cùng tên playlist</t>
  </si>
  <si>
    <t xml:space="preserve">User A và B cùng tạo "Chill"</t>
  </si>
  <si>
    <t xml:space="preserve">Cho phép; mỗi người thấy playlist riêng</t>
  </si>
  <si>
    <t xml:space="preserve">TC_PLL_06</t>
  </si>
  <si>
    <t xml:space="preserve">Sửa playlist</t>
  </si>
  <si>
    <t xml:space="preserve">Đổi tên playlist</t>
  </si>
  <si>
    <t xml:space="preserve">Đổi thành "Nhạc tối"</t>
  </si>
  <si>
    <t xml:space="preserve">Tên mới được lưu</t>
  </si>
  <si>
    <t xml:space="preserve">TC_PLL_07</t>
  </si>
  <si>
    <t xml:space="preserve">Xóa playlist</t>
  </si>
  <si>
    <t xml:space="preserve">Bấm Xóa</t>
  </si>
  <si>
    <t xml:space="preserve">Playlist biến mất; các bài hát trong hệ thống không bị xóa</t>
  </si>
  <si>
    <t xml:space="preserve">TC_PLL_08</t>
  </si>
  <si>
    <t xml:space="preserve">Xóa playlist không tồn tại</t>
  </si>
  <si>
    <t xml:space="preserve">404</t>
  </si>
  <si>
    <t xml:space="preserve">TC_PLL_09</t>
  </si>
  <si>
    <t xml:space="preserve">Thêm bài</t>
  </si>
  <si>
    <t xml:space="preserve">Thêm bài hát vào playlist</t>
  </si>
  <si>
    <t xml:space="preserve">Chọn bài và playlist</t>
  </si>
  <si>
    <t xml:space="preserve">Bài xuất hiện trong playlist; số bài tăng 1</t>
  </si>
  <si>
    <t xml:space="preserve">TC_PLL_10</t>
  </si>
  <si>
    <t xml:space="preserve">Thêm bài đã có trong playlist</t>
  </si>
  <si>
    <t xml:space="preserve">Thêm lại cùng bài</t>
  </si>
  <si>
    <t xml:space="preserve">Không tạo bản sao (hoặc có thông báo)</t>
  </si>
  <si>
    <t xml:space="preserve">TC_PLL_11</t>
  </si>
  <si>
    <t xml:space="preserve">Thêm bài không tồn tại</t>
  </si>
  <si>
    <t xml:space="preserve">songId = 999</t>
  </si>
  <si>
    <t xml:space="preserve">TC_PLL_12</t>
  </si>
  <si>
    <t xml:space="preserve">Bớt bài</t>
  </si>
  <si>
    <t xml:space="preserve">Gỡ bài hát khỏi playlist</t>
  </si>
  <si>
    <t xml:space="preserve">Bấm Gỡ</t>
  </si>
  <si>
    <t xml:space="preserve">Bài biến mất khỏi playlist nhưng còn trong thư viện</t>
  </si>
  <si>
    <t xml:space="preserve">TC_PLL_13</t>
  </si>
  <si>
    <t xml:space="preserve">Xem playlist</t>
  </si>
  <si>
    <t xml:space="preserve">Xem danh sách bài trong playlist</t>
  </si>
  <si>
    <t xml:space="preserve">Mở playlist</t>
  </si>
  <si>
    <t xml:space="preserve">Hiển thị đúng bài và thứ tự thêm</t>
  </si>
  <si>
    <t xml:space="preserve">TC_PLL_14</t>
  </si>
  <si>
    <t xml:space="preserve">Playlist rỗng</t>
  </si>
  <si>
    <t xml:space="preserve">Mở playlist mới</t>
  </si>
  <si>
    <t xml:space="preserve">Hiển thị trạng thái rỗng, không lỗi</t>
  </si>
  <si>
    <t xml:space="preserve">TC_PLL_15</t>
  </si>
  <si>
    <t xml:space="preserve">Xem/sửa playlist của người khác</t>
  </si>
  <si>
    <t xml:space="preserve">Đổi id trên URL</t>
  </si>
  <si>
    <t xml:space="preserve">Bị từ chối (403/404)</t>
  </si>
  <si>
    <t xml:space="preserve">TC_PLL_16</t>
  </si>
  <si>
    <t xml:space="preserve">Toàn vẹn dữ liệu</t>
  </si>
  <si>
    <t xml:space="preserve">Xóa bài hát đang nằm trong playlist</t>
  </si>
  <si>
    <t xml:space="preserve">Xóa bài trong thư viện</t>
  </si>
  <si>
    <t xml:space="preserve">Bài bị gỡ khỏi playlist; không lỗi 500</t>
  </si>
  <si>
    <t xml:space="preserve">TC_PLL_17</t>
  </si>
  <si>
    <t xml:space="preserve">Phát playlist</t>
  </si>
  <si>
    <t xml:space="preserve">Phát lần lượt các bài trong playlist</t>
  </si>
  <si>
    <t xml:space="preserve">Bấm Play playlist</t>
  </si>
  <si>
    <t xml:space="preserve">Phát bài đầu; tự chuyển bài kế tiếp</t>
  </si>
  <si>
    <t xml:space="preserve">TC_FAV_01</t>
  </si>
  <si>
    <t xml:space="preserve">Thêm yêu thích</t>
  </si>
  <si>
    <t xml:space="preserve">Thêm bài hát vào yêu thích</t>
  </si>
  <si>
    <t xml:space="preserve">Bấm biểu tượng tim</t>
  </si>
  <si>
    <t xml:space="preserve">Bài xuất hiện trong danh sách yêu thích; tim đổi trạng thái</t>
  </si>
  <si>
    <t xml:space="preserve">TC_FAV_02</t>
  </si>
  <si>
    <t xml:space="preserve">Thêm bài đã yêu thích (bấm lặp)</t>
  </si>
  <si>
    <t xml:space="preserve">Gửi yêu cầu thêm 2 lần</t>
  </si>
  <si>
    <t xml:space="preserve">Chỉ có 1 bản ghi (idempotent)</t>
  </si>
  <si>
    <t xml:space="preserve">TC_FAV_03</t>
  </si>
  <si>
    <t xml:space="preserve">TC_FAV_04</t>
  </si>
  <si>
    <t xml:space="preserve">Bỏ yêu thích</t>
  </si>
  <si>
    <t xml:space="preserve">Bỏ bài hát khỏi yêu thích</t>
  </si>
  <si>
    <t xml:space="preserve">Bấm tim lần nữa</t>
  </si>
  <si>
    <t xml:space="preserve">Bài biến mất khỏi danh sách yêu thích</t>
  </si>
  <si>
    <t xml:space="preserve">TC_FAV_05</t>
  </si>
  <si>
    <t xml:space="preserve">Bỏ bài chưa yêu thích</t>
  </si>
  <si>
    <t xml:space="preserve">Gửi yêu cầu bỏ</t>
  </si>
  <si>
    <t xml:space="preserve">Không lỗi 500</t>
  </si>
  <si>
    <t xml:space="preserve">TC_FAV_06</t>
  </si>
  <si>
    <t xml:space="preserve">Xem yêu thích</t>
  </si>
  <si>
    <t xml:space="preserve">Xem danh sách yêu thích</t>
  </si>
  <si>
    <t xml:space="preserve">Mở trang Yêu thích</t>
  </si>
  <si>
    <t xml:space="preserve">Hiển thị đúng các bài đã thích</t>
  </si>
  <si>
    <t xml:space="preserve">TC_FAV_07</t>
  </si>
  <si>
    <t xml:space="preserve">Danh sách rỗng</t>
  </si>
  <si>
    <t xml:space="preserve">Người dùng mới</t>
  </si>
  <si>
    <t xml:space="preserve">Hiển thị trạng thái rỗng</t>
  </si>
  <si>
    <t xml:space="preserve">TC_FAV_08</t>
  </si>
  <si>
    <t xml:space="preserve">Lưu trữ</t>
  </si>
  <si>
    <t xml:space="preserve">Dữ liệu còn sau khi đăng nhập lại</t>
  </si>
  <si>
    <t xml:space="preserve">Đăng xuất rồi đăng nhập</t>
  </si>
  <si>
    <t xml:space="preserve">Danh sách yêu thích còn nguyên</t>
  </si>
  <si>
    <t xml:space="preserve">TC_FAV_09</t>
  </si>
  <si>
    <t xml:space="preserve">Cô lập dữ liệu</t>
  </si>
  <si>
    <t xml:space="preserve">Yêu thích của mỗi người dùng tách biệt</t>
  </si>
  <si>
    <t xml:space="preserve">User A thích bài X</t>
  </si>
  <si>
    <t xml:space="preserve">User B không thấy bài X trong yêu thích của mình</t>
  </si>
  <si>
    <t xml:space="preserve">TC_FAV_10</t>
  </si>
  <si>
    <t xml:space="preserve">Xóa bài hát đang được yêu thích</t>
  </si>
  <si>
    <t xml:space="preserve">Bản ghi yêu thích bị xóa theo; không lỗi 500</t>
  </si>
  <si>
    <t xml:space="preserve">TC_FAV_11</t>
  </si>
  <si>
    <t xml:space="preserve">Chưa đăng nhập mà thêm yêu thích</t>
  </si>
  <si>
    <t xml:space="preserve">Không có phiên</t>
  </si>
  <si>
    <t xml:space="preserve">401 hoặc chuyển về trang đăng nhập</t>
  </si>
  <si>
    <t xml:space="preserve">TC_FAV_12</t>
  </si>
  <si>
    <t xml:space="preserve">Tìm trong yêu thích</t>
  </si>
  <si>
    <t xml:space="preserve">Tìm kiếm trong danh sách yêu thích</t>
  </si>
  <si>
    <t xml:space="preserve">keyword</t>
  </si>
  <si>
    <t xml:space="preserve">Chỉ lọc trong các bài đã thích</t>
  </si>
  <si>
    <t xml:space="preserve">TC_PRF_01</t>
  </si>
  <si>
    <t xml:space="preserve">GET / với 120 người dùng ảo, ramp-up 1s (lần chạy đã thực hiện)</t>
  </si>
  <si>
    <t xml:space="preserve">Kịch bản src/test/jmeter/music-library-load-test.jmx</t>
  </si>
  <si>
    <t xml:space="preserve">Lỗi &lt; 1%; trung bình &lt; 1s</t>
  </si>
  <si>
    <t xml:space="preserve">Trung bình 4 ms; lỗi 0.00% (120 mẫu)</t>
  </si>
  <si>
    <t xml:space="preserve">Lần chạy: 120 luồng, ramp-up 1s, 15s</t>
  </si>
  <si>
    <t xml:space="preserve">TC_PRF_02</t>
  </si>
  <si>
    <t xml:space="preserve">GET /login và POST /login với 120 người dùng</t>
  </si>
  <si>
    <t xml:space="preserve">Lỗi &lt; 1%; trung bình &lt; 1.5s</t>
  </si>
  <si>
    <t xml:space="preserve">GET login 4 ms; POST login 282 ms; lỗi 0.00%</t>
  </si>
  <si>
    <t xml:space="preserve">TC_PRF_03</t>
  </si>
  <si>
    <t xml:space="preserve">Danh sách thể loại</t>
  </si>
  <si>
    <t xml:space="preserve">GET /genres với 120 người dùng</t>
  </si>
  <si>
    <t xml:space="preserve">Trung bình 9,291 ms (min 1,482; max 16,757); lỗi 0.00%</t>
  </si>
  <si>
    <t xml:space="preserve">Chậm: vượt tiêu chí &lt; 1s</t>
  </si>
  <si>
    <t xml:space="preserve">TC_PRF_04</t>
  </si>
  <si>
    <t xml:space="preserve">Tìm kiếm thể loại</t>
  </si>
  <si>
    <t xml:space="preserve">GET /genres/search với 120 người dùng</t>
  </si>
  <si>
    <t xml:space="preserve">Trung bình 13,656 ms (31 mẫu); lỗi 0.00%</t>
  </si>
  <si>
    <t xml:space="preserve">TC_PRF_05</t>
  </si>
  <si>
    <t xml:space="preserve">Danh sách nghệ sĩ</t>
  </si>
  <si>
    <t xml:space="preserve">GET /artists với 120 người dùng</t>
  </si>
  <si>
    <t xml:space="preserve">Chưa có mẫu trong Summary Report</t>
  </si>
  <si>
    <t xml:space="preserve">Chạy lại để có đủ mẫu</t>
  </si>
  <si>
    <t xml:space="preserve">TC_PRF_06</t>
  </si>
  <si>
    <t xml:space="preserve">Danh sách bài hát</t>
  </si>
  <si>
    <t xml:space="preserve">GET /songs với 120 người dùng</t>
  </si>
  <si>
    <t xml:space="preserve">TC_PRF_07</t>
  </si>
  <si>
    <t xml:space="preserve">Tìm kiếm bài hát</t>
  </si>
  <si>
    <t xml:space="preserve">GET /songs/search với 120 người dùng</t>
  </si>
  <si>
    <t xml:space="preserve">TC_PRF_08</t>
  </si>
  <si>
    <t xml:space="preserve">Tải thấp</t>
  </si>
  <si>
    <t xml:space="preserve">20 người dùng, ramp-up 10s, 180s</t>
  </si>
  <si>
    <t xml:space="preserve">-Jthreads=20 -Jrampup=10 -Jduration=180</t>
  </si>
  <si>
    <t xml:space="preserve">Lỗi &lt; 1%; 95% &lt; 2s</t>
  </si>
  <si>
    <t xml:space="preserve">TC_PRF_09</t>
  </si>
  <si>
    <t xml:space="preserve">Tải trung bình</t>
  </si>
  <si>
    <t xml:space="preserve">50 người dùng, ramp-up 20s, 180s</t>
  </si>
  <si>
    <t xml:space="preserve">-Jthreads=50 -Jrampup=20 -Jduration=180</t>
  </si>
  <si>
    <t xml:space="preserve">TC_PRF_10</t>
  </si>
  <si>
    <t xml:space="preserve">Tải cao</t>
  </si>
  <si>
    <t xml:space="preserve">100 người dùng, ramp-up 30s, 180s</t>
  </si>
  <si>
    <t xml:space="preserve">-Jthreads=100 -Jrampup=30 -Jduration=180</t>
  </si>
  <si>
    <t xml:space="preserve">Xác định ngưỡng chịu tải; lỗi &lt; 5%</t>
  </si>
  <si>
    <t xml:space="preserve">TC_PRF_11</t>
  </si>
  <si>
    <t xml:space="preserve">Tỉ lệ lỗi tổng thể</t>
  </si>
  <si>
    <t xml:space="preserve">Tổng hợp lần chạy 120 người dùng</t>
  </si>
  <si>
    <t xml:space="preserve">Summary Report</t>
  </si>
  <si>
    <t xml:space="preserve">Error % = 0%</t>
  </si>
  <si>
    <t xml:space="preserve">TOTAL 511 mẫu; lỗi 0.00%; trung bình 3,078 ms; ~18.3 mẫu/giây</t>
  </si>
  <si>
    <t xml:space="preserve">Chưa tính percentile 90/95</t>
  </si>
  <si>
    <t xml:space="preserve">TC_PRF_12</t>
  </si>
  <si>
    <t xml:space="preserve">Tài nguyên máy chủ</t>
  </si>
  <si>
    <t xml:space="preserve">Theo dõi CPU/RAM khi chạy</t>
  </si>
  <si>
    <t xml:space="preserve">Task Manager / VisualVM</t>
  </si>
  <si>
    <t xml:space="preserve">CPU &lt; 80%, RAM ổn định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</si>
</sst>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f aca="false">COUNTA('Artist (Service)'!A2:A28)</f>
        <v>27</v>
      </c>
      <c r="C6" s="6" t="n">
        <f aca="false">COUNTIF('Artist (Service)'!I2:I28,"Pass")</f>
        <v>24</v>
      </c>
      <c r="D6" s="6" t="n">
        <f aca="false">COUNTIF('Artist (Service)'!I2:I28,"Fail")</f>
        <v>0</v>
      </c>
      <c r="E6" s="6" t="n">
        <f aca="false">COUNTIF('Artist (Service)'!I2:I28,"Blocked")</f>
        <v>0</v>
      </c>
      <c r="F6" s="6" t="n">
        <f aca="false">COUNTIF('Artist (Service)'!I2:I28,"Chưa test")</f>
        <v>3</v>
      </c>
      <c r="G6" s="7" t="n">
        <f aca="false">IF(B6=0,0,C6/B6)</f>
        <v>0.888888888888889</v>
      </c>
    </row>
    <row r="7" customFormat="false" ht="15" hidden="false" customHeight="false" outlineLevel="0" collapsed="false">
      <c r="A7" s="5" t="s">
        <v>11</v>
      </c>
      <c r="B7" s="6" t="n">
        <f aca="false">COUNTA('Genre (Service)'!A2:A28)</f>
        <v>27</v>
      </c>
      <c r="C7" s="6" t="n">
        <f aca="false">COUNTIF('Genre (Service)'!I2:I28,"Pass")</f>
        <v>24</v>
      </c>
      <c r="D7" s="6" t="n">
        <f aca="false">COUNTIF('Genre (Service)'!I2:I28,"Fail")</f>
        <v>0</v>
      </c>
      <c r="E7" s="6" t="n">
        <f aca="false">COUNTIF('Genre (Service)'!I2:I28,"Blocked")</f>
        <v>0</v>
      </c>
      <c r="F7" s="6" t="n">
        <f aca="false">COUNTIF('Genre (Service)'!I2:I28,"Chưa test")</f>
        <v>3</v>
      </c>
      <c r="G7" s="7" t="n">
        <f aca="false">IF(B7=0,0,C7/B7)</f>
        <v>0.888888888888889</v>
      </c>
    </row>
    <row r="8" customFormat="false" ht="15" hidden="false" customHeight="false" outlineLevel="0" collapsed="false">
      <c r="A8" s="5" t="s">
        <v>12</v>
      </c>
      <c r="B8" s="6" t="n">
        <f aca="false">COUNTA('Song (Service)'!A2:A26)</f>
        <v>25</v>
      </c>
      <c r="C8" s="6" t="n">
        <f aca="false">COUNTIF('Song (Service)'!I2:I26,"Pass")</f>
        <v>24</v>
      </c>
      <c r="D8" s="6" t="n">
        <f aca="false">COUNTIF('Song (Service)'!I2:I26,"Fail")</f>
        <v>0</v>
      </c>
      <c r="E8" s="6" t="n">
        <f aca="false">COUNTIF('Song (Service)'!I2:I26,"Blocked")</f>
        <v>0</v>
      </c>
      <c r="F8" s="6" t="n">
        <f aca="false">COUNTIF('Song (Service)'!I2:I26,"Chưa test")</f>
        <v>1</v>
      </c>
      <c r="G8" s="7" t="n">
        <f aca="false">IF(B8=0,0,C8/B8)</f>
        <v>0.96</v>
      </c>
    </row>
    <row r="9" customFormat="false" ht="15" hidden="false" customHeight="false" outlineLevel="0" collapsed="false">
      <c r="A9" s="5" t="s">
        <v>13</v>
      </c>
      <c r="B9" s="6" t="n">
        <f aca="false">COUNTA('User (Service)'!A2:A22)</f>
        <v>21</v>
      </c>
      <c r="C9" s="6" t="n">
        <f aca="false">COUNTIF('User (Service)'!I2:I22,"Pass")</f>
        <v>20</v>
      </c>
      <c r="D9" s="6" t="n">
        <f aca="false">COUNTIF('User (Service)'!I2:I22,"Fail")</f>
        <v>0</v>
      </c>
      <c r="E9" s="6" t="n">
        <f aca="false">COUNTIF('User (Service)'!I2:I22,"Blocked")</f>
        <v>0</v>
      </c>
      <c r="F9" s="6" t="n">
        <f aca="false">COUNTIF('User (Service)'!I2:I22,"Chưa test")</f>
        <v>1</v>
      </c>
      <c r="G9" s="7" t="n">
        <f aca="false">IF(B9=0,0,C9/B9)</f>
        <v>0.952380952380952</v>
      </c>
    </row>
    <row r="10" customFormat="false" ht="15" hidden="false" customHeight="false" outlineLevel="0" collapsed="false">
      <c r="A10" s="5" t="s">
        <v>14</v>
      </c>
      <c r="B10" s="6" t="n">
        <f aca="false">COUNTA(Controller!A2:A40)</f>
        <v>39</v>
      </c>
      <c r="C10" s="6" t="n">
        <f aca="false">COUNTIF(Controller!I2:I40,"Pass")</f>
        <v>32</v>
      </c>
      <c r="D10" s="6" t="n">
        <f aca="false">COUNTIF(Controller!I2:I40,"Fail")</f>
        <v>6</v>
      </c>
      <c r="E10" s="6" t="n">
        <f aca="false">COUNTIF(Controller!I2:I40,"Blocked")</f>
        <v>0</v>
      </c>
      <c r="F10" s="6" t="n">
        <f aca="false">COUNTIF(Controller!I2:I40,"Chưa test")</f>
        <v>1</v>
      </c>
      <c r="G10" s="7" t="n">
        <f aca="false">IF(B10=0,0,C10/B10)</f>
        <v>0.820512820512821</v>
      </c>
    </row>
    <row r="11" customFormat="false" ht="15" hidden="false" customHeight="false" outlineLevel="0" collapsed="false">
      <c r="A11" s="5" t="s">
        <v>15</v>
      </c>
      <c r="B11" s="6" t="n">
        <f aca="false">COUNTA('Exception - Khác'!A2:A14)</f>
        <v>13</v>
      </c>
      <c r="C11" s="6" t="n">
        <f aca="false">COUNTIF('Exception - Khác'!I2:I14,"Pass")</f>
        <v>8</v>
      </c>
      <c r="D11" s="6" t="n">
        <f aca="false">COUNTIF('Exception - Khác'!I2:I14,"Fail")</f>
        <v>0</v>
      </c>
      <c r="E11" s="6" t="n">
        <f aca="false">COUNTIF('Exception - Khác'!I2:I14,"Blocked")</f>
        <v>1</v>
      </c>
      <c r="F11" s="6" t="n">
        <f aca="false">COUNTIF('Exception - Khác'!I2:I14,"Chưa test")</f>
        <v>4</v>
      </c>
      <c r="G11" s="7" t="n">
        <f aca="false">IF(B11=0,0,C11/B11)</f>
        <v>0.615384615384615</v>
      </c>
    </row>
    <row r="12" customFormat="false" ht="15" hidden="false" customHeight="false" outlineLevel="0" collapsed="false">
      <c r="A12" s="5" t="s">
        <v>16</v>
      </c>
      <c r="B12" s="6" t="n">
        <f aca="false">COUNTA('Đăng ký - Đăng nhập'!A2:A27)</f>
        <v>26</v>
      </c>
      <c r="C12" s="6" t="n">
        <f aca="false">COUNTIF('Đăng ký - Đăng nhập'!I2:I27,"Pass")</f>
        <v>0</v>
      </c>
      <c r="D12" s="6" t="n">
        <f aca="false">COUNTIF('Đăng ký - Đăng nhập'!I2:I27,"Fail")</f>
        <v>0</v>
      </c>
      <c r="E12" s="6" t="n">
        <f aca="false">COUNTIF('Đăng ký - Đăng nhập'!I2:I27,"Blocked")</f>
        <v>0</v>
      </c>
      <c r="F12" s="6" t="n">
        <f aca="false">COUNTIF('Đăng ký - Đăng nhập'!I2:I27,"Chưa test")</f>
        <v>26</v>
      </c>
      <c r="G12" s="7" t="n">
        <f aca="false">IF(B12=0,0,C12/B12)</f>
        <v>0</v>
      </c>
    </row>
    <row r="13" customFormat="false" ht="15" hidden="false" customHeight="false" outlineLevel="0" collapsed="false">
      <c r="A13" s="5" t="s">
        <v>17</v>
      </c>
      <c r="B13" s="6" t="n">
        <f aca="false">COUNTA('Phát nhạc - Tìm kiếm'!A2:A24)</f>
        <v>23</v>
      </c>
      <c r="C13" s="6" t="n">
        <f aca="false">COUNTIF('Phát nhạc - Tìm kiếm'!I2:I24,"Pass")</f>
        <v>0</v>
      </c>
      <c r="D13" s="6" t="n">
        <f aca="false">COUNTIF('Phát nhạc - Tìm kiếm'!I2:I24,"Fail")</f>
        <v>0</v>
      </c>
      <c r="E13" s="6" t="n">
        <f aca="false">COUNTIF('Phát nhạc - Tìm kiếm'!I2:I24,"Blocked")</f>
        <v>2</v>
      </c>
      <c r="F13" s="6" t="n">
        <f aca="false">COUNTIF('Phát nhạc - Tìm kiếm'!I2:I24,"Chưa test")</f>
        <v>21</v>
      </c>
      <c r="G13" s="7" t="n">
        <f aca="false">IF(B13=0,0,C13/B13)</f>
        <v>0</v>
      </c>
    </row>
    <row r="14" customFormat="false" ht="15" hidden="false" customHeight="false" outlineLevel="0" collapsed="false">
      <c r="A14" s="5" t="s">
        <v>18</v>
      </c>
      <c r="B14" s="6" t="n">
        <f aca="false">COUNTA(Playlist!A2:A18)</f>
        <v>17</v>
      </c>
      <c r="C14" s="6" t="n">
        <f aca="false">COUNTIF(Playlist!I2:I18,"Pass")</f>
        <v>0</v>
      </c>
      <c r="D14" s="6" t="n">
        <f aca="false">COUNTIF(Playlist!I2:I18,"Fail")</f>
        <v>0</v>
      </c>
      <c r="E14" s="6" t="n">
        <f aca="false">COUNTIF(Playlist!I2:I18,"Blocked")</f>
        <v>17</v>
      </c>
      <c r="F14" s="6" t="n">
        <f aca="false">COUNTIF(Playlist!I2:I18,"Chưa test")</f>
        <v>0</v>
      </c>
      <c r="G14" s="7" t="n">
        <f aca="false">IF(B14=0,0,C14/B14)</f>
        <v>0</v>
      </c>
    </row>
    <row r="15" customFormat="false" ht="15" hidden="false" customHeight="false" outlineLevel="0" collapsed="false">
      <c r="A15" s="5" t="s">
        <v>19</v>
      </c>
      <c r="B15" s="6" t="n">
        <f aca="false">COUNTA('Yêu thích'!A2:A13)</f>
        <v>12</v>
      </c>
      <c r="C15" s="6" t="n">
        <f aca="false">COUNTIF('Yêu thích'!I2:I13,"Pass")</f>
        <v>0</v>
      </c>
      <c r="D15" s="6" t="n">
        <f aca="false">COUNTIF('Yêu thích'!I2:I13,"Fail")</f>
        <v>0</v>
      </c>
      <c r="E15" s="6" t="n">
        <f aca="false">COUNTIF('Yêu thích'!I2:I13,"Blocked")</f>
        <v>12</v>
      </c>
      <c r="F15" s="6" t="n">
        <f aca="false">COUNTIF('Yêu thích'!I2:I13,"Chưa test")</f>
        <v>0</v>
      </c>
      <c r="G15" s="7" t="n">
        <f aca="false">IF(B15=0,0,C15/B15)</f>
        <v>0</v>
      </c>
    </row>
    <row r="16" customFormat="false" ht="15" hidden="false" customHeight="false" outlineLevel="0" collapsed="false">
      <c r="A16" s="5" t="s">
        <v>20</v>
      </c>
      <c r="B16" s="6" t="n">
        <f aca="false">COUNTA('Hiệu năng JMeter'!A2:A13)</f>
        <v>12</v>
      </c>
      <c r="C16" s="6" t="n">
        <f aca="false">COUNTIF('Hiệu năng JMeter'!I2:I13,"Pass")</f>
        <v>3</v>
      </c>
      <c r="D16" s="6" t="n">
        <f aca="false">COUNTIF('Hiệu năng JMeter'!I2:I13,"Fail")</f>
        <v>2</v>
      </c>
      <c r="E16" s="6" t="n">
        <f aca="false">COUNTIF('Hiệu năng JMeter'!I2:I13,"Blocked")</f>
        <v>0</v>
      </c>
      <c r="F16" s="6" t="n">
        <f aca="false">COUNTIF('Hiệu năng JMeter'!I2:I13,"Chưa test")</f>
        <v>7</v>
      </c>
      <c r="G16" s="7" t="n">
        <f aca="false">IF(B16=0,0,C16/B16)</f>
        <v>0.25</v>
      </c>
    </row>
    <row r="17" customFormat="false" ht="15" hidden="false" customHeight="false" outlineLevel="0" collapsed="false">
      <c r="A17" s="8" t="s">
        <v>21</v>
      </c>
      <c r="B17" s="9" t="n">
        <f aca="false">SUM(B6:B16)</f>
        <v>242</v>
      </c>
      <c r="C17" s="9" t="n">
        <f aca="false">SUM(C6:C16)</f>
        <v>135</v>
      </c>
      <c r="D17" s="9" t="n">
        <f aca="false">SUM(D6:D16)</f>
        <v>8</v>
      </c>
      <c r="E17" s="9" t="n">
        <f aca="false">SUM(E6:E16)</f>
        <v>32</v>
      </c>
      <c r="F17" s="9" t="n">
        <f aca="false">SUM(F6:F16)</f>
        <v>67</v>
      </c>
      <c r="G17" s="10" t="n">
        <f aca="false">IF(B17=0,0,C17/B17)</f>
        <v>0.557851239669422</v>
      </c>
    </row>
    <row r="19" customFormat="false" ht="15" hidden="false" customHeight="false" outlineLevel="0" collapsed="false">
      <c r="A19" s="11" t="s">
        <v>22</v>
      </c>
    </row>
    <row r="20" customFormat="false" ht="15" hidden="false" customHeight="false" outlineLevel="0" collapsed="false">
      <c r="A20" s="3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3" t="s">
        <v>25</v>
      </c>
    </row>
    <row r="23" customFormat="false" ht="15" hidden="false" customHeight="false" outlineLevel="0" collapsed="false">
      <c r="A23" s="3" t="s">
        <v>26</v>
      </c>
    </row>
    <row r="24" customFormat="false" ht="15" hidden="false" customHeight="false" outlineLevel="0" collapsed="false">
      <c r="A24" s="3" t="s">
        <v>27</v>
      </c>
    </row>
    <row r="25" customFormat="false" ht="15" hidden="false" customHeight="false" outlineLevel="0" collapsed="false">
      <c r="A25" s="3" t="s">
        <v>28</v>
      </c>
    </row>
    <row r="26" customFormat="false" ht="15" hidden="false" customHeight="false" outlineLevel="0" collapsed="false">
      <c r="A26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40</v>
      </c>
      <c r="B2" s="13" t="s">
        <v>41</v>
      </c>
      <c r="C2" s="13" t="s">
        <v>42</v>
      </c>
      <c r="D2" s="13" t="s">
        <v>43</v>
      </c>
      <c r="E2" s="13" t="s">
        <v>44</v>
      </c>
      <c r="F2" s="14" t="s">
        <v>45</v>
      </c>
      <c r="G2" s="14" t="s">
        <v>46</v>
      </c>
      <c r="H2" s="13" t="s">
        <v>47</v>
      </c>
      <c r="I2" s="15" t="s">
        <v>5</v>
      </c>
      <c r="J2" s="13"/>
    </row>
    <row r="3" customFormat="false" ht="23.85" hidden="false" customHeight="false" outlineLevel="0" collapsed="false">
      <c r="A3" s="13" t="s">
        <v>48</v>
      </c>
      <c r="B3" s="13" t="s">
        <v>41</v>
      </c>
      <c r="C3" s="13" t="s">
        <v>49</v>
      </c>
      <c r="D3" s="13" t="s">
        <v>50</v>
      </c>
      <c r="E3" s="13" t="s">
        <v>51</v>
      </c>
      <c r="F3" s="14" t="s">
        <v>45</v>
      </c>
      <c r="G3" s="14" t="s">
        <v>52</v>
      </c>
      <c r="H3" s="13" t="s">
        <v>47</v>
      </c>
      <c r="I3" s="15" t="s">
        <v>5</v>
      </c>
      <c r="J3" s="13"/>
    </row>
    <row r="4" customFormat="false" ht="23.85" hidden="false" customHeight="false" outlineLevel="0" collapsed="false">
      <c r="A4" s="13" t="s">
        <v>53</v>
      </c>
      <c r="B4" s="13" t="s">
        <v>54</v>
      </c>
      <c r="C4" s="13" t="s">
        <v>55</v>
      </c>
      <c r="D4" s="13" t="s">
        <v>56</v>
      </c>
      <c r="E4" s="13" t="s">
        <v>57</v>
      </c>
      <c r="F4" s="14" t="s">
        <v>45</v>
      </c>
      <c r="G4" s="14" t="s">
        <v>46</v>
      </c>
      <c r="H4" s="13" t="s">
        <v>47</v>
      </c>
      <c r="I4" s="15" t="s">
        <v>5</v>
      </c>
      <c r="J4" s="13"/>
    </row>
    <row r="5" customFormat="false" ht="23.85" hidden="false" customHeight="false" outlineLevel="0" collapsed="false">
      <c r="A5" s="13" t="s">
        <v>58</v>
      </c>
      <c r="B5" s="13" t="s">
        <v>54</v>
      </c>
      <c r="C5" s="13" t="s">
        <v>59</v>
      </c>
      <c r="D5" s="13" t="s">
        <v>60</v>
      </c>
      <c r="E5" s="13" t="s">
        <v>61</v>
      </c>
      <c r="F5" s="16" t="s">
        <v>62</v>
      </c>
      <c r="G5" s="14" t="s">
        <v>46</v>
      </c>
      <c r="H5" s="13" t="s">
        <v>47</v>
      </c>
      <c r="I5" s="15" t="s">
        <v>5</v>
      </c>
      <c r="J5" s="13"/>
    </row>
    <row r="6" customFormat="false" ht="23.85" hidden="false" customHeight="false" outlineLevel="0" collapsed="false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67</v>
      </c>
      <c r="F6" s="14" t="s">
        <v>45</v>
      </c>
      <c r="G6" s="14" t="s">
        <v>46</v>
      </c>
      <c r="H6" s="13" t="s">
        <v>47</v>
      </c>
      <c r="I6" s="15" t="s">
        <v>5</v>
      </c>
      <c r="J6" s="13"/>
    </row>
    <row r="7" customFormat="false" ht="23.85" hidden="false" customHeight="false" outlineLevel="0" collapsed="false">
      <c r="A7" s="13" t="s">
        <v>68</v>
      </c>
      <c r="B7" s="13" t="s">
        <v>64</v>
      </c>
      <c r="C7" s="13" t="s">
        <v>69</v>
      </c>
      <c r="D7" s="13" t="s">
        <v>70</v>
      </c>
      <c r="E7" s="13" t="s">
        <v>71</v>
      </c>
      <c r="F7" s="14" t="s">
        <v>45</v>
      </c>
      <c r="G7" s="14" t="s">
        <v>52</v>
      </c>
      <c r="H7" s="13" t="s">
        <v>47</v>
      </c>
      <c r="I7" s="15" t="s">
        <v>5</v>
      </c>
      <c r="J7" s="13"/>
    </row>
    <row r="8" customFormat="false" ht="23.85" hidden="false" customHeight="false" outlineLevel="0" collapsed="false">
      <c r="A8" s="13" t="s">
        <v>72</v>
      </c>
      <c r="B8" s="13" t="s">
        <v>73</v>
      </c>
      <c r="C8" s="13" t="s">
        <v>74</v>
      </c>
      <c r="D8" s="13" t="s">
        <v>75</v>
      </c>
      <c r="E8" s="13" t="s">
        <v>76</v>
      </c>
      <c r="F8" s="14" t="s">
        <v>45</v>
      </c>
      <c r="G8" s="14" t="s">
        <v>46</v>
      </c>
      <c r="H8" s="13" t="s">
        <v>47</v>
      </c>
      <c r="I8" s="15" t="s">
        <v>5</v>
      </c>
      <c r="J8" s="13"/>
    </row>
    <row r="9" customFormat="false" ht="23.85" hidden="false" customHeight="false" outlineLevel="0" collapsed="false">
      <c r="A9" s="13" t="s">
        <v>77</v>
      </c>
      <c r="B9" s="13" t="s">
        <v>73</v>
      </c>
      <c r="C9" s="13" t="s">
        <v>78</v>
      </c>
      <c r="D9" s="13" t="s">
        <v>70</v>
      </c>
      <c r="E9" s="13" t="s">
        <v>79</v>
      </c>
      <c r="F9" s="14" t="s">
        <v>45</v>
      </c>
      <c r="G9" s="14" t="s">
        <v>52</v>
      </c>
      <c r="H9" s="13" t="s">
        <v>47</v>
      </c>
      <c r="I9" s="15" t="s">
        <v>5</v>
      </c>
      <c r="J9" s="13"/>
    </row>
    <row r="10" customFormat="false" ht="23.85" hidden="false" customHeight="false" outlineLevel="0" collapsed="false">
      <c r="A10" s="13" t="s">
        <v>80</v>
      </c>
      <c r="B10" s="13" t="s">
        <v>81</v>
      </c>
      <c r="C10" s="13" t="s">
        <v>82</v>
      </c>
      <c r="D10" s="13" t="s">
        <v>83</v>
      </c>
      <c r="E10" s="13" t="s">
        <v>84</v>
      </c>
      <c r="F10" s="14" t="s">
        <v>45</v>
      </c>
      <c r="G10" s="14" t="s">
        <v>46</v>
      </c>
      <c r="H10" s="13" t="s">
        <v>47</v>
      </c>
      <c r="I10" s="15" t="s">
        <v>5</v>
      </c>
      <c r="J10" s="13"/>
    </row>
    <row r="11" customFormat="false" ht="23.85" hidden="false" customHeight="false" outlineLevel="0" collapsed="false">
      <c r="A11" s="13" t="s">
        <v>85</v>
      </c>
      <c r="B11" s="13" t="s">
        <v>81</v>
      </c>
      <c r="C11" s="13" t="s">
        <v>86</v>
      </c>
      <c r="D11" s="13" t="s">
        <v>87</v>
      </c>
      <c r="E11" s="13" t="s">
        <v>88</v>
      </c>
      <c r="F11" s="16" t="s">
        <v>62</v>
      </c>
      <c r="G11" s="14" t="s">
        <v>46</v>
      </c>
      <c r="H11" s="13" t="s">
        <v>47</v>
      </c>
      <c r="I11" s="15" t="s">
        <v>5</v>
      </c>
      <c r="J11" s="13"/>
    </row>
    <row r="12" customFormat="false" ht="23.85" hidden="false" customHeight="false" outlineLevel="0" collapsed="false">
      <c r="A12" s="13" t="s">
        <v>89</v>
      </c>
      <c r="B12" s="13" t="s">
        <v>81</v>
      </c>
      <c r="C12" s="13" t="s">
        <v>90</v>
      </c>
      <c r="D12" s="13" t="s">
        <v>91</v>
      </c>
      <c r="E12" s="13" t="s">
        <v>92</v>
      </c>
      <c r="F12" s="16" t="s">
        <v>62</v>
      </c>
      <c r="G12" s="14" t="s">
        <v>46</v>
      </c>
      <c r="H12" s="13" t="s">
        <v>47</v>
      </c>
      <c r="I12" s="15" t="s">
        <v>5</v>
      </c>
      <c r="J12" s="13"/>
    </row>
    <row r="13" customFormat="false" ht="23.85" hidden="false" customHeight="false" outlineLevel="0" collapsed="false">
      <c r="A13" s="13" t="s">
        <v>93</v>
      </c>
      <c r="B13" s="13" t="s">
        <v>81</v>
      </c>
      <c r="C13" s="13" t="s">
        <v>94</v>
      </c>
      <c r="D13" s="13" t="s">
        <v>95</v>
      </c>
      <c r="E13" s="13" t="s">
        <v>92</v>
      </c>
      <c r="F13" s="16" t="s">
        <v>62</v>
      </c>
      <c r="G13" s="14" t="s">
        <v>46</v>
      </c>
      <c r="H13" s="13" t="s">
        <v>47</v>
      </c>
      <c r="I13" s="15" t="s">
        <v>5</v>
      </c>
      <c r="J13" s="13"/>
    </row>
    <row r="14" customFormat="false" ht="23.85" hidden="false" customHeight="false" outlineLevel="0" collapsed="false">
      <c r="A14" s="13" t="s">
        <v>96</v>
      </c>
      <c r="B14" s="13" t="s">
        <v>81</v>
      </c>
      <c r="C14" s="13" t="s">
        <v>97</v>
      </c>
      <c r="D14" s="13" t="s">
        <v>98</v>
      </c>
      <c r="E14" s="13" t="s">
        <v>99</v>
      </c>
      <c r="F14" s="16" t="s">
        <v>62</v>
      </c>
      <c r="G14" s="14" t="s">
        <v>46</v>
      </c>
      <c r="H14" s="13" t="s">
        <v>47</v>
      </c>
      <c r="I14" s="15" t="s">
        <v>5</v>
      </c>
      <c r="J14" s="13"/>
    </row>
    <row r="15" customFormat="false" ht="23.85" hidden="false" customHeight="false" outlineLevel="0" collapsed="false">
      <c r="A15" s="13" t="s">
        <v>100</v>
      </c>
      <c r="B15" s="13" t="s">
        <v>81</v>
      </c>
      <c r="C15" s="13" t="s">
        <v>101</v>
      </c>
      <c r="D15" s="13" t="s">
        <v>75</v>
      </c>
      <c r="E15" s="13" t="s">
        <v>92</v>
      </c>
      <c r="F15" s="16" t="s">
        <v>62</v>
      </c>
      <c r="G15" s="14" t="s">
        <v>52</v>
      </c>
      <c r="H15" s="13" t="s">
        <v>47</v>
      </c>
      <c r="I15" s="15" t="s">
        <v>5</v>
      </c>
      <c r="J15" s="13"/>
    </row>
    <row r="16" customFormat="false" ht="23.85" hidden="false" customHeight="false" outlineLevel="0" collapsed="false">
      <c r="A16" s="13" t="s">
        <v>102</v>
      </c>
      <c r="B16" s="13" t="s">
        <v>103</v>
      </c>
      <c r="C16" s="13" t="s">
        <v>104</v>
      </c>
      <c r="D16" s="13" t="s">
        <v>105</v>
      </c>
      <c r="E16" s="13" t="s">
        <v>106</v>
      </c>
      <c r="F16" s="14" t="s">
        <v>45</v>
      </c>
      <c r="G16" s="14" t="s">
        <v>46</v>
      </c>
      <c r="H16" s="13" t="s">
        <v>47</v>
      </c>
      <c r="I16" s="15" t="s">
        <v>5</v>
      </c>
      <c r="J16" s="13"/>
    </row>
    <row r="17" customFormat="false" ht="23.85" hidden="false" customHeight="false" outlineLevel="0" collapsed="false">
      <c r="A17" s="13" t="s">
        <v>107</v>
      </c>
      <c r="B17" s="13" t="s">
        <v>103</v>
      </c>
      <c r="C17" s="13" t="s">
        <v>108</v>
      </c>
      <c r="D17" s="13" t="s">
        <v>109</v>
      </c>
      <c r="E17" s="13" t="s">
        <v>110</v>
      </c>
      <c r="F17" s="14" t="s">
        <v>45</v>
      </c>
      <c r="G17" s="14" t="s">
        <v>52</v>
      </c>
      <c r="H17" s="13" t="s">
        <v>47</v>
      </c>
      <c r="I17" s="15" t="s">
        <v>5</v>
      </c>
      <c r="J17" s="13"/>
    </row>
    <row r="18" customFormat="false" ht="23.85" hidden="false" customHeight="false" outlineLevel="0" collapsed="false">
      <c r="A18" s="13" t="s">
        <v>111</v>
      </c>
      <c r="B18" s="13" t="s">
        <v>103</v>
      </c>
      <c r="C18" s="13" t="s">
        <v>112</v>
      </c>
      <c r="D18" s="13" t="s">
        <v>113</v>
      </c>
      <c r="E18" s="13" t="s">
        <v>114</v>
      </c>
      <c r="F18" s="14" t="s">
        <v>45</v>
      </c>
      <c r="G18" s="14" t="s">
        <v>52</v>
      </c>
      <c r="H18" s="13" t="s">
        <v>47</v>
      </c>
      <c r="I18" s="15" t="s">
        <v>5</v>
      </c>
      <c r="J18" s="13"/>
    </row>
    <row r="19" customFormat="false" ht="23.85" hidden="false" customHeight="false" outlineLevel="0" collapsed="false">
      <c r="A19" s="13" t="s">
        <v>115</v>
      </c>
      <c r="B19" s="13" t="s">
        <v>103</v>
      </c>
      <c r="C19" s="13" t="s">
        <v>116</v>
      </c>
      <c r="D19" s="13" t="s">
        <v>60</v>
      </c>
      <c r="E19" s="13" t="s">
        <v>117</v>
      </c>
      <c r="F19" s="16" t="s">
        <v>62</v>
      </c>
      <c r="G19" s="14" t="s">
        <v>46</v>
      </c>
      <c r="H19" s="13" t="s">
        <v>47</v>
      </c>
      <c r="I19" s="15" t="s">
        <v>5</v>
      </c>
      <c r="J19" s="13"/>
    </row>
    <row r="20" customFormat="false" ht="23.85" hidden="false" customHeight="false" outlineLevel="0" collapsed="false">
      <c r="A20" s="13" t="s">
        <v>118</v>
      </c>
      <c r="B20" s="13" t="s">
        <v>103</v>
      </c>
      <c r="C20" s="13" t="s">
        <v>119</v>
      </c>
      <c r="D20" s="13" t="s">
        <v>120</v>
      </c>
      <c r="E20" s="13" t="s">
        <v>121</v>
      </c>
      <c r="F20" s="16" t="s">
        <v>62</v>
      </c>
      <c r="G20" s="14" t="s">
        <v>46</v>
      </c>
      <c r="H20" s="13" t="s">
        <v>47</v>
      </c>
      <c r="I20" s="15" t="s">
        <v>5</v>
      </c>
      <c r="J20" s="13"/>
    </row>
    <row r="21" customFormat="false" ht="23.85" hidden="false" customHeight="false" outlineLevel="0" collapsed="false">
      <c r="A21" s="13" t="s">
        <v>122</v>
      </c>
      <c r="B21" s="13" t="s">
        <v>103</v>
      </c>
      <c r="C21" s="13" t="s">
        <v>123</v>
      </c>
      <c r="D21" s="13" t="s">
        <v>87</v>
      </c>
      <c r="E21" s="13" t="s">
        <v>124</v>
      </c>
      <c r="F21" s="16" t="s">
        <v>62</v>
      </c>
      <c r="G21" s="14" t="s">
        <v>52</v>
      </c>
      <c r="H21" s="13" t="s">
        <v>47</v>
      </c>
      <c r="I21" s="15" t="s">
        <v>5</v>
      </c>
      <c r="J21" s="13"/>
    </row>
    <row r="22" customFormat="false" ht="23.85" hidden="false" customHeight="false" outlineLevel="0" collapsed="false">
      <c r="A22" s="13" t="s">
        <v>125</v>
      </c>
      <c r="B22" s="13" t="s">
        <v>126</v>
      </c>
      <c r="C22" s="13" t="s">
        <v>127</v>
      </c>
      <c r="D22" s="13" t="s">
        <v>128</v>
      </c>
      <c r="E22" s="13" t="s">
        <v>129</v>
      </c>
      <c r="F22" s="14" t="s">
        <v>45</v>
      </c>
      <c r="G22" s="14" t="s">
        <v>46</v>
      </c>
      <c r="H22" s="13" t="s">
        <v>47</v>
      </c>
      <c r="I22" s="15" t="s">
        <v>5</v>
      </c>
      <c r="J22" s="13"/>
    </row>
    <row r="23" customFormat="false" ht="23.85" hidden="false" customHeight="false" outlineLevel="0" collapsed="false">
      <c r="A23" s="13" t="s">
        <v>130</v>
      </c>
      <c r="B23" s="13" t="s">
        <v>126</v>
      </c>
      <c r="C23" s="13" t="s">
        <v>131</v>
      </c>
      <c r="D23" s="13" t="s">
        <v>132</v>
      </c>
      <c r="E23" s="13" t="s">
        <v>133</v>
      </c>
      <c r="F23" s="16" t="s">
        <v>62</v>
      </c>
      <c r="G23" s="14" t="s">
        <v>46</v>
      </c>
      <c r="H23" s="13" t="s">
        <v>47</v>
      </c>
      <c r="I23" s="15" t="s">
        <v>5</v>
      </c>
      <c r="J23" s="13"/>
    </row>
    <row r="24" customFormat="false" ht="23.85" hidden="false" customHeight="false" outlineLevel="0" collapsed="false">
      <c r="A24" s="13" t="s">
        <v>134</v>
      </c>
      <c r="B24" s="13" t="s">
        <v>135</v>
      </c>
      <c r="C24" s="13" t="s">
        <v>136</v>
      </c>
      <c r="D24" s="13" t="s">
        <v>137</v>
      </c>
      <c r="E24" s="13" t="s">
        <v>138</v>
      </c>
      <c r="F24" s="14" t="s">
        <v>45</v>
      </c>
      <c r="G24" s="14" t="s">
        <v>139</v>
      </c>
      <c r="H24" s="13" t="s">
        <v>47</v>
      </c>
      <c r="I24" s="15" t="s">
        <v>5</v>
      </c>
      <c r="J24" s="13"/>
    </row>
    <row r="25" customFormat="false" ht="23.85" hidden="false" customHeight="false" outlineLevel="0" collapsed="false">
      <c r="A25" s="13" t="s">
        <v>140</v>
      </c>
      <c r="B25" s="13" t="s">
        <v>135</v>
      </c>
      <c r="C25" s="13" t="s">
        <v>141</v>
      </c>
      <c r="D25" s="13" t="s">
        <v>142</v>
      </c>
      <c r="E25" s="13" t="s">
        <v>143</v>
      </c>
      <c r="F25" s="14" t="s">
        <v>45</v>
      </c>
      <c r="G25" s="14" t="s">
        <v>139</v>
      </c>
      <c r="H25" s="13" t="s">
        <v>47</v>
      </c>
      <c r="I25" s="15" t="s">
        <v>5</v>
      </c>
      <c r="J25" s="13"/>
    </row>
    <row r="26" customFormat="false" ht="23.85" hidden="false" customHeight="false" outlineLevel="0" collapsed="false">
      <c r="A26" s="13" t="s">
        <v>144</v>
      </c>
      <c r="B26" s="13" t="s">
        <v>145</v>
      </c>
      <c r="C26" s="13" t="s">
        <v>146</v>
      </c>
      <c r="D26" s="13" t="s">
        <v>147</v>
      </c>
      <c r="E26" s="13" t="s">
        <v>148</v>
      </c>
      <c r="F26" s="14" t="s">
        <v>45</v>
      </c>
      <c r="G26" s="14" t="s">
        <v>52</v>
      </c>
      <c r="H26" s="13"/>
      <c r="I26" s="14" t="s">
        <v>8</v>
      </c>
      <c r="J26" s="13" t="s">
        <v>149</v>
      </c>
    </row>
    <row r="27" customFormat="false" ht="23.85" hidden="false" customHeight="false" outlineLevel="0" collapsed="false">
      <c r="A27" s="13" t="s">
        <v>150</v>
      </c>
      <c r="B27" s="13" t="s">
        <v>145</v>
      </c>
      <c r="C27" s="13" t="s">
        <v>151</v>
      </c>
      <c r="D27" s="13" t="s">
        <v>152</v>
      </c>
      <c r="E27" s="13" t="s">
        <v>76</v>
      </c>
      <c r="F27" s="14" t="s">
        <v>45</v>
      </c>
      <c r="G27" s="14" t="s">
        <v>52</v>
      </c>
      <c r="H27" s="13"/>
      <c r="I27" s="14" t="s">
        <v>8</v>
      </c>
      <c r="J27" s="13" t="s">
        <v>149</v>
      </c>
    </row>
    <row r="28" customFormat="false" ht="23.85" hidden="false" customHeight="false" outlineLevel="0" collapsed="false">
      <c r="A28" s="13" t="s">
        <v>153</v>
      </c>
      <c r="B28" s="13" t="s">
        <v>154</v>
      </c>
      <c r="C28" s="13" t="s">
        <v>155</v>
      </c>
      <c r="D28" s="13" t="s">
        <v>156</v>
      </c>
      <c r="E28" s="13" t="s">
        <v>157</v>
      </c>
      <c r="F28" s="14" t="s">
        <v>45</v>
      </c>
      <c r="G28" s="14" t="s">
        <v>139</v>
      </c>
      <c r="H28" s="13"/>
      <c r="I28" s="14" t="s">
        <v>8</v>
      </c>
      <c r="J28" s="13" t="s">
        <v>149</v>
      </c>
    </row>
  </sheetData>
  <autoFilter ref="A1:J28"/>
  <dataValidations count="1">
    <dataValidation allowBlank="false" errorStyle="stop" operator="between" showDropDown="false" showErrorMessage="false" showInputMessage="false" sqref="I2:I28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158</v>
      </c>
      <c r="B2" s="13" t="s">
        <v>159</v>
      </c>
      <c r="C2" s="13" t="s">
        <v>42</v>
      </c>
      <c r="D2" s="13" t="s">
        <v>43</v>
      </c>
      <c r="E2" s="13" t="s">
        <v>44</v>
      </c>
      <c r="F2" s="14" t="s">
        <v>45</v>
      </c>
      <c r="G2" s="14" t="s">
        <v>46</v>
      </c>
      <c r="H2" s="13" t="s">
        <v>47</v>
      </c>
      <c r="I2" s="15" t="s">
        <v>5</v>
      </c>
      <c r="J2" s="13"/>
    </row>
    <row r="3" customFormat="false" ht="23.85" hidden="false" customHeight="false" outlineLevel="0" collapsed="false">
      <c r="A3" s="13" t="s">
        <v>160</v>
      </c>
      <c r="B3" s="13" t="s">
        <v>159</v>
      </c>
      <c r="C3" s="13" t="s">
        <v>49</v>
      </c>
      <c r="D3" s="13" t="s">
        <v>50</v>
      </c>
      <c r="E3" s="13" t="s">
        <v>51</v>
      </c>
      <c r="F3" s="14" t="s">
        <v>45</v>
      </c>
      <c r="G3" s="14" t="s">
        <v>52</v>
      </c>
      <c r="H3" s="13" t="s">
        <v>47</v>
      </c>
      <c r="I3" s="15" t="s">
        <v>5</v>
      </c>
      <c r="J3" s="13"/>
    </row>
    <row r="4" customFormat="false" ht="23.85" hidden="false" customHeight="false" outlineLevel="0" collapsed="false">
      <c r="A4" s="13" t="s">
        <v>161</v>
      </c>
      <c r="B4" s="13" t="s">
        <v>162</v>
      </c>
      <c r="C4" s="13" t="s">
        <v>55</v>
      </c>
      <c r="D4" s="13" t="s">
        <v>56</v>
      </c>
      <c r="E4" s="13" t="s">
        <v>163</v>
      </c>
      <c r="F4" s="14" t="s">
        <v>45</v>
      </c>
      <c r="G4" s="14" t="s">
        <v>46</v>
      </c>
      <c r="H4" s="13" t="s">
        <v>47</v>
      </c>
      <c r="I4" s="15" t="s">
        <v>5</v>
      </c>
      <c r="J4" s="13"/>
    </row>
    <row r="5" customFormat="false" ht="23.85" hidden="false" customHeight="false" outlineLevel="0" collapsed="false">
      <c r="A5" s="13" t="s">
        <v>164</v>
      </c>
      <c r="B5" s="13" t="s">
        <v>162</v>
      </c>
      <c r="C5" s="13" t="s">
        <v>59</v>
      </c>
      <c r="D5" s="13" t="s">
        <v>60</v>
      </c>
      <c r="E5" s="13" t="s">
        <v>61</v>
      </c>
      <c r="F5" s="16" t="s">
        <v>62</v>
      </c>
      <c r="G5" s="14" t="s">
        <v>46</v>
      </c>
      <c r="H5" s="13" t="s">
        <v>47</v>
      </c>
      <c r="I5" s="15" t="s">
        <v>5</v>
      </c>
      <c r="J5" s="13"/>
    </row>
    <row r="6" customFormat="false" ht="23.85" hidden="false" customHeight="false" outlineLevel="0" collapsed="false">
      <c r="A6" s="13" t="s">
        <v>165</v>
      </c>
      <c r="B6" s="13" t="s">
        <v>166</v>
      </c>
      <c r="C6" s="13" t="s">
        <v>65</v>
      </c>
      <c r="D6" s="13" t="s">
        <v>66</v>
      </c>
      <c r="E6" s="13" t="s">
        <v>67</v>
      </c>
      <c r="F6" s="14" t="s">
        <v>45</v>
      </c>
      <c r="G6" s="14" t="s">
        <v>46</v>
      </c>
      <c r="H6" s="13" t="s">
        <v>47</v>
      </c>
      <c r="I6" s="15" t="s">
        <v>5</v>
      </c>
      <c r="J6" s="13"/>
    </row>
    <row r="7" customFormat="false" ht="23.85" hidden="false" customHeight="false" outlineLevel="0" collapsed="false">
      <c r="A7" s="13" t="s">
        <v>167</v>
      </c>
      <c r="B7" s="13" t="s">
        <v>166</v>
      </c>
      <c r="C7" s="13" t="s">
        <v>69</v>
      </c>
      <c r="D7" s="13" t="s">
        <v>70</v>
      </c>
      <c r="E7" s="13" t="s">
        <v>71</v>
      </c>
      <c r="F7" s="14" t="s">
        <v>45</v>
      </c>
      <c r="G7" s="14" t="s">
        <v>52</v>
      </c>
      <c r="H7" s="13" t="s">
        <v>47</v>
      </c>
      <c r="I7" s="15" t="s">
        <v>5</v>
      </c>
      <c r="J7" s="13"/>
    </row>
    <row r="8" customFormat="false" ht="23.85" hidden="false" customHeight="false" outlineLevel="0" collapsed="false">
      <c r="A8" s="13" t="s">
        <v>168</v>
      </c>
      <c r="B8" s="13" t="s">
        <v>169</v>
      </c>
      <c r="C8" s="13" t="s">
        <v>74</v>
      </c>
      <c r="D8" s="13" t="s">
        <v>75</v>
      </c>
      <c r="E8" s="13" t="s">
        <v>76</v>
      </c>
      <c r="F8" s="14" t="s">
        <v>45</v>
      </c>
      <c r="G8" s="14" t="s">
        <v>46</v>
      </c>
      <c r="H8" s="13" t="s">
        <v>47</v>
      </c>
      <c r="I8" s="15" t="s">
        <v>5</v>
      </c>
      <c r="J8" s="13"/>
    </row>
    <row r="9" customFormat="false" ht="23.85" hidden="false" customHeight="false" outlineLevel="0" collapsed="false">
      <c r="A9" s="13" t="s">
        <v>170</v>
      </c>
      <c r="B9" s="13" t="s">
        <v>169</v>
      </c>
      <c r="C9" s="13" t="s">
        <v>78</v>
      </c>
      <c r="D9" s="13" t="s">
        <v>70</v>
      </c>
      <c r="E9" s="13" t="s">
        <v>79</v>
      </c>
      <c r="F9" s="14" t="s">
        <v>45</v>
      </c>
      <c r="G9" s="14" t="s">
        <v>52</v>
      </c>
      <c r="H9" s="13" t="s">
        <v>47</v>
      </c>
      <c r="I9" s="15" t="s">
        <v>5</v>
      </c>
      <c r="J9" s="13"/>
    </row>
    <row r="10" customFormat="false" ht="23.85" hidden="false" customHeight="false" outlineLevel="0" collapsed="false">
      <c r="A10" s="13" t="s">
        <v>171</v>
      </c>
      <c r="B10" s="13" t="s">
        <v>172</v>
      </c>
      <c r="C10" s="13" t="s">
        <v>82</v>
      </c>
      <c r="D10" s="13" t="s">
        <v>83</v>
      </c>
      <c r="E10" s="13" t="s">
        <v>84</v>
      </c>
      <c r="F10" s="14" t="s">
        <v>45</v>
      </c>
      <c r="G10" s="14" t="s">
        <v>46</v>
      </c>
      <c r="H10" s="13" t="s">
        <v>47</v>
      </c>
      <c r="I10" s="15" t="s">
        <v>5</v>
      </c>
      <c r="J10" s="13"/>
    </row>
    <row r="11" customFormat="false" ht="23.85" hidden="false" customHeight="false" outlineLevel="0" collapsed="false">
      <c r="A11" s="13" t="s">
        <v>173</v>
      </c>
      <c r="B11" s="13" t="s">
        <v>172</v>
      </c>
      <c r="C11" s="13" t="s">
        <v>86</v>
      </c>
      <c r="D11" s="13" t="s">
        <v>87</v>
      </c>
      <c r="E11" s="13" t="s">
        <v>88</v>
      </c>
      <c r="F11" s="16" t="s">
        <v>62</v>
      </c>
      <c r="G11" s="14" t="s">
        <v>46</v>
      </c>
      <c r="H11" s="13" t="s">
        <v>47</v>
      </c>
      <c r="I11" s="15" t="s">
        <v>5</v>
      </c>
      <c r="J11" s="13"/>
    </row>
    <row r="12" customFormat="false" ht="23.85" hidden="false" customHeight="false" outlineLevel="0" collapsed="false">
      <c r="A12" s="13" t="s">
        <v>174</v>
      </c>
      <c r="B12" s="13" t="s">
        <v>172</v>
      </c>
      <c r="C12" s="13" t="s">
        <v>90</v>
      </c>
      <c r="D12" s="13" t="s">
        <v>91</v>
      </c>
      <c r="E12" s="13" t="s">
        <v>92</v>
      </c>
      <c r="F12" s="16" t="s">
        <v>62</v>
      </c>
      <c r="G12" s="14" t="s">
        <v>46</v>
      </c>
      <c r="H12" s="13" t="s">
        <v>47</v>
      </c>
      <c r="I12" s="15" t="s">
        <v>5</v>
      </c>
      <c r="J12" s="13"/>
    </row>
    <row r="13" customFormat="false" ht="23.85" hidden="false" customHeight="false" outlineLevel="0" collapsed="false">
      <c r="A13" s="13" t="s">
        <v>175</v>
      </c>
      <c r="B13" s="13" t="s">
        <v>172</v>
      </c>
      <c r="C13" s="13" t="s">
        <v>94</v>
      </c>
      <c r="D13" s="13" t="s">
        <v>95</v>
      </c>
      <c r="E13" s="13" t="s">
        <v>92</v>
      </c>
      <c r="F13" s="16" t="s">
        <v>62</v>
      </c>
      <c r="G13" s="14" t="s">
        <v>46</v>
      </c>
      <c r="H13" s="13" t="s">
        <v>47</v>
      </c>
      <c r="I13" s="15" t="s">
        <v>5</v>
      </c>
      <c r="J13" s="13"/>
    </row>
    <row r="14" customFormat="false" ht="23.85" hidden="false" customHeight="false" outlineLevel="0" collapsed="false">
      <c r="A14" s="13" t="s">
        <v>176</v>
      </c>
      <c r="B14" s="13" t="s">
        <v>172</v>
      </c>
      <c r="C14" s="13" t="s">
        <v>97</v>
      </c>
      <c r="D14" s="13" t="s">
        <v>98</v>
      </c>
      <c r="E14" s="13" t="s">
        <v>99</v>
      </c>
      <c r="F14" s="16" t="s">
        <v>62</v>
      </c>
      <c r="G14" s="14" t="s">
        <v>46</v>
      </c>
      <c r="H14" s="13" t="s">
        <v>47</v>
      </c>
      <c r="I14" s="15" t="s">
        <v>5</v>
      </c>
      <c r="J14" s="13"/>
    </row>
    <row r="15" customFormat="false" ht="23.85" hidden="false" customHeight="false" outlineLevel="0" collapsed="false">
      <c r="A15" s="13" t="s">
        <v>177</v>
      </c>
      <c r="B15" s="13" t="s">
        <v>172</v>
      </c>
      <c r="C15" s="13" t="s">
        <v>101</v>
      </c>
      <c r="D15" s="13" t="s">
        <v>75</v>
      </c>
      <c r="E15" s="13" t="s">
        <v>92</v>
      </c>
      <c r="F15" s="16" t="s">
        <v>62</v>
      </c>
      <c r="G15" s="14" t="s">
        <v>52</v>
      </c>
      <c r="H15" s="13" t="s">
        <v>47</v>
      </c>
      <c r="I15" s="15" t="s">
        <v>5</v>
      </c>
      <c r="J15" s="13"/>
    </row>
    <row r="16" customFormat="false" ht="23.85" hidden="false" customHeight="false" outlineLevel="0" collapsed="false">
      <c r="A16" s="13" t="s">
        <v>178</v>
      </c>
      <c r="B16" s="13" t="s">
        <v>179</v>
      </c>
      <c r="C16" s="13" t="s">
        <v>104</v>
      </c>
      <c r="D16" s="13" t="s">
        <v>180</v>
      </c>
      <c r="E16" s="13" t="s">
        <v>106</v>
      </c>
      <c r="F16" s="14" t="s">
        <v>45</v>
      </c>
      <c r="G16" s="14" t="s">
        <v>46</v>
      </c>
      <c r="H16" s="13" t="s">
        <v>47</v>
      </c>
      <c r="I16" s="15" t="s">
        <v>5</v>
      </c>
      <c r="J16" s="13"/>
    </row>
    <row r="17" customFormat="false" ht="23.85" hidden="false" customHeight="false" outlineLevel="0" collapsed="false">
      <c r="A17" s="13" t="s">
        <v>181</v>
      </c>
      <c r="B17" s="13" t="s">
        <v>179</v>
      </c>
      <c r="C17" s="13" t="s">
        <v>108</v>
      </c>
      <c r="D17" s="13" t="s">
        <v>109</v>
      </c>
      <c r="E17" s="13" t="s">
        <v>110</v>
      </c>
      <c r="F17" s="14" t="s">
        <v>45</v>
      </c>
      <c r="G17" s="14" t="s">
        <v>52</v>
      </c>
      <c r="H17" s="13" t="s">
        <v>47</v>
      </c>
      <c r="I17" s="15" t="s">
        <v>5</v>
      </c>
      <c r="J17" s="13"/>
    </row>
    <row r="18" customFormat="false" ht="23.85" hidden="false" customHeight="false" outlineLevel="0" collapsed="false">
      <c r="A18" s="13" t="s">
        <v>182</v>
      </c>
      <c r="B18" s="13" t="s">
        <v>179</v>
      </c>
      <c r="C18" s="13" t="s">
        <v>112</v>
      </c>
      <c r="D18" s="13" t="s">
        <v>113</v>
      </c>
      <c r="E18" s="13" t="s">
        <v>114</v>
      </c>
      <c r="F18" s="14" t="s">
        <v>45</v>
      </c>
      <c r="G18" s="14" t="s">
        <v>52</v>
      </c>
      <c r="H18" s="13" t="s">
        <v>47</v>
      </c>
      <c r="I18" s="15" t="s">
        <v>5</v>
      </c>
      <c r="J18" s="13"/>
    </row>
    <row r="19" customFormat="false" ht="23.85" hidden="false" customHeight="false" outlineLevel="0" collapsed="false">
      <c r="A19" s="13" t="s">
        <v>183</v>
      </c>
      <c r="B19" s="13" t="s">
        <v>179</v>
      </c>
      <c r="C19" s="13" t="s">
        <v>116</v>
      </c>
      <c r="D19" s="13" t="s">
        <v>60</v>
      </c>
      <c r="E19" s="13" t="s">
        <v>117</v>
      </c>
      <c r="F19" s="16" t="s">
        <v>62</v>
      </c>
      <c r="G19" s="14" t="s">
        <v>46</v>
      </c>
      <c r="H19" s="13" t="s">
        <v>47</v>
      </c>
      <c r="I19" s="15" t="s">
        <v>5</v>
      </c>
      <c r="J19" s="13"/>
    </row>
    <row r="20" customFormat="false" ht="23.85" hidden="false" customHeight="false" outlineLevel="0" collapsed="false">
      <c r="A20" s="13" t="s">
        <v>184</v>
      </c>
      <c r="B20" s="13" t="s">
        <v>179</v>
      </c>
      <c r="C20" s="13" t="s">
        <v>119</v>
      </c>
      <c r="D20" s="13" t="s">
        <v>120</v>
      </c>
      <c r="E20" s="13" t="s">
        <v>121</v>
      </c>
      <c r="F20" s="16" t="s">
        <v>62</v>
      </c>
      <c r="G20" s="14" t="s">
        <v>46</v>
      </c>
      <c r="H20" s="13" t="s">
        <v>47</v>
      </c>
      <c r="I20" s="15" t="s">
        <v>5</v>
      </c>
      <c r="J20" s="13"/>
    </row>
    <row r="21" customFormat="false" ht="23.85" hidden="false" customHeight="false" outlineLevel="0" collapsed="false">
      <c r="A21" s="13" t="s">
        <v>185</v>
      </c>
      <c r="B21" s="13" t="s">
        <v>179</v>
      </c>
      <c r="C21" s="13" t="s">
        <v>123</v>
      </c>
      <c r="D21" s="13" t="s">
        <v>87</v>
      </c>
      <c r="E21" s="13" t="s">
        <v>124</v>
      </c>
      <c r="F21" s="16" t="s">
        <v>62</v>
      </c>
      <c r="G21" s="14" t="s">
        <v>52</v>
      </c>
      <c r="H21" s="13" t="s">
        <v>47</v>
      </c>
      <c r="I21" s="15" t="s">
        <v>5</v>
      </c>
      <c r="J21" s="13"/>
    </row>
    <row r="22" customFormat="false" ht="23.85" hidden="false" customHeight="false" outlineLevel="0" collapsed="false">
      <c r="A22" s="13" t="s">
        <v>186</v>
      </c>
      <c r="B22" s="13" t="s">
        <v>187</v>
      </c>
      <c r="C22" s="13" t="s">
        <v>127</v>
      </c>
      <c r="D22" s="13" t="s">
        <v>128</v>
      </c>
      <c r="E22" s="13" t="s">
        <v>129</v>
      </c>
      <c r="F22" s="14" t="s">
        <v>45</v>
      </c>
      <c r="G22" s="14" t="s">
        <v>46</v>
      </c>
      <c r="H22" s="13" t="s">
        <v>47</v>
      </c>
      <c r="I22" s="15" t="s">
        <v>5</v>
      </c>
      <c r="J22" s="13"/>
    </row>
    <row r="23" customFormat="false" ht="23.85" hidden="false" customHeight="false" outlineLevel="0" collapsed="false">
      <c r="A23" s="13" t="s">
        <v>188</v>
      </c>
      <c r="B23" s="13" t="s">
        <v>187</v>
      </c>
      <c r="C23" s="13" t="s">
        <v>131</v>
      </c>
      <c r="D23" s="13" t="s">
        <v>132</v>
      </c>
      <c r="E23" s="13" t="s">
        <v>133</v>
      </c>
      <c r="F23" s="16" t="s">
        <v>62</v>
      </c>
      <c r="G23" s="14" t="s">
        <v>46</v>
      </c>
      <c r="H23" s="13" t="s">
        <v>47</v>
      </c>
      <c r="I23" s="15" t="s">
        <v>5</v>
      </c>
      <c r="J23" s="13"/>
    </row>
    <row r="24" customFormat="false" ht="23.85" hidden="false" customHeight="false" outlineLevel="0" collapsed="false">
      <c r="A24" s="13" t="s">
        <v>189</v>
      </c>
      <c r="B24" s="13" t="s">
        <v>190</v>
      </c>
      <c r="C24" s="13" t="s">
        <v>136</v>
      </c>
      <c r="D24" s="13" t="s">
        <v>137</v>
      </c>
      <c r="E24" s="13" t="s">
        <v>138</v>
      </c>
      <c r="F24" s="14" t="s">
        <v>45</v>
      </c>
      <c r="G24" s="14" t="s">
        <v>139</v>
      </c>
      <c r="H24" s="13" t="s">
        <v>47</v>
      </c>
      <c r="I24" s="15" t="s">
        <v>5</v>
      </c>
      <c r="J24" s="13"/>
    </row>
    <row r="25" customFormat="false" ht="23.85" hidden="false" customHeight="false" outlineLevel="0" collapsed="false">
      <c r="A25" s="13" t="s">
        <v>191</v>
      </c>
      <c r="B25" s="13" t="s">
        <v>190</v>
      </c>
      <c r="C25" s="13" t="s">
        <v>141</v>
      </c>
      <c r="D25" s="13" t="s">
        <v>142</v>
      </c>
      <c r="E25" s="13" t="s">
        <v>143</v>
      </c>
      <c r="F25" s="14" t="s">
        <v>45</v>
      </c>
      <c r="G25" s="14" t="s">
        <v>139</v>
      </c>
      <c r="H25" s="13" t="s">
        <v>47</v>
      </c>
      <c r="I25" s="15" t="s">
        <v>5</v>
      </c>
      <c r="J25" s="13"/>
    </row>
    <row r="26" customFormat="false" ht="23.85" hidden="false" customHeight="false" outlineLevel="0" collapsed="false">
      <c r="A26" s="13" t="s">
        <v>192</v>
      </c>
      <c r="B26" s="13" t="s">
        <v>193</v>
      </c>
      <c r="C26" s="13" t="s">
        <v>146</v>
      </c>
      <c r="D26" s="13" t="s">
        <v>147</v>
      </c>
      <c r="E26" s="13" t="s">
        <v>148</v>
      </c>
      <c r="F26" s="14" t="s">
        <v>45</v>
      </c>
      <c r="G26" s="14" t="s">
        <v>52</v>
      </c>
      <c r="H26" s="13"/>
      <c r="I26" s="14" t="s">
        <v>8</v>
      </c>
      <c r="J26" s="13" t="s">
        <v>149</v>
      </c>
    </row>
    <row r="27" customFormat="false" ht="23.85" hidden="false" customHeight="false" outlineLevel="0" collapsed="false">
      <c r="A27" s="13" t="s">
        <v>194</v>
      </c>
      <c r="B27" s="13" t="s">
        <v>193</v>
      </c>
      <c r="C27" s="13" t="s">
        <v>151</v>
      </c>
      <c r="D27" s="13" t="s">
        <v>152</v>
      </c>
      <c r="E27" s="13" t="s">
        <v>76</v>
      </c>
      <c r="F27" s="14" t="s">
        <v>45</v>
      </c>
      <c r="G27" s="14" t="s">
        <v>52</v>
      </c>
      <c r="H27" s="13"/>
      <c r="I27" s="14" t="s">
        <v>8</v>
      </c>
      <c r="J27" s="13" t="s">
        <v>149</v>
      </c>
    </row>
    <row r="28" customFormat="false" ht="23.85" hidden="false" customHeight="false" outlineLevel="0" collapsed="false">
      <c r="A28" s="13" t="s">
        <v>195</v>
      </c>
      <c r="B28" s="13" t="s">
        <v>196</v>
      </c>
      <c r="C28" s="13" t="s">
        <v>155</v>
      </c>
      <c r="D28" s="13" t="s">
        <v>156</v>
      </c>
      <c r="E28" s="13" t="s">
        <v>157</v>
      </c>
      <c r="F28" s="14" t="s">
        <v>45</v>
      </c>
      <c r="G28" s="14" t="s">
        <v>139</v>
      </c>
      <c r="H28" s="13"/>
      <c r="I28" s="14" t="s">
        <v>8</v>
      </c>
      <c r="J28" s="13" t="s">
        <v>149</v>
      </c>
    </row>
  </sheetData>
  <autoFilter ref="A1:J28"/>
  <dataValidations count="1">
    <dataValidation allowBlank="false" errorStyle="stop" operator="between" showDropDown="false" showErrorMessage="false" showInputMessage="false" sqref="I2:I28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197</v>
      </c>
      <c r="B2" s="13" t="s">
        <v>198</v>
      </c>
      <c r="C2" s="13" t="s">
        <v>199</v>
      </c>
      <c r="D2" s="13" t="s">
        <v>200</v>
      </c>
      <c r="E2" s="13" t="s">
        <v>201</v>
      </c>
      <c r="F2" s="14" t="s">
        <v>45</v>
      </c>
      <c r="G2" s="14" t="s">
        <v>46</v>
      </c>
      <c r="H2" s="13" t="s">
        <v>47</v>
      </c>
      <c r="I2" s="15" t="s">
        <v>5</v>
      </c>
      <c r="J2" s="13"/>
    </row>
    <row r="3" customFormat="false" ht="23.85" hidden="false" customHeight="false" outlineLevel="0" collapsed="false">
      <c r="A3" s="13" t="s">
        <v>202</v>
      </c>
      <c r="B3" s="13" t="s">
        <v>198</v>
      </c>
      <c r="C3" s="13" t="s">
        <v>203</v>
      </c>
      <c r="D3" s="13" t="s">
        <v>204</v>
      </c>
      <c r="E3" s="13" t="s">
        <v>205</v>
      </c>
      <c r="F3" s="16" t="s">
        <v>62</v>
      </c>
      <c r="G3" s="14" t="s">
        <v>46</v>
      </c>
      <c r="H3" s="13" t="s">
        <v>47</v>
      </c>
      <c r="I3" s="15" t="s">
        <v>5</v>
      </c>
      <c r="J3" s="13"/>
    </row>
    <row r="4" customFormat="false" ht="23.85" hidden="false" customHeight="false" outlineLevel="0" collapsed="false">
      <c r="A4" s="13" t="s">
        <v>206</v>
      </c>
      <c r="B4" s="13" t="s">
        <v>198</v>
      </c>
      <c r="C4" s="13" t="s">
        <v>207</v>
      </c>
      <c r="D4" s="13" t="s">
        <v>208</v>
      </c>
      <c r="E4" s="13" t="s">
        <v>209</v>
      </c>
      <c r="F4" s="16" t="s">
        <v>62</v>
      </c>
      <c r="G4" s="14" t="s">
        <v>46</v>
      </c>
      <c r="H4" s="13" t="s">
        <v>47</v>
      </c>
      <c r="I4" s="15" t="s">
        <v>5</v>
      </c>
      <c r="J4" s="13"/>
    </row>
    <row r="5" customFormat="false" ht="23.85" hidden="false" customHeight="false" outlineLevel="0" collapsed="false">
      <c r="A5" s="13" t="s">
        <v>210</v>
      </c>
      <c r="B5" s="13" t="s">
        <v>198</v>
      </c>
      <c r="C5" s="13" t="s">
        <v>211</v>
      </c>
      <c r="D5" s="13" t="s">
        <v>212</v>
      </c>
      <c r="E5" s="13" t="s">
        <v>209</v>
      </c>
      <c r="F5" s="16" t="s">
        <v>62</v>
      </c>
      <c r="G5" s="14" t="s">
        <v>46</v>
      </c>
      <c r="H5" s="13" t="s">
        <v>47</v>
      </c>
      <c r="I5" s="15" t="s">
        <v>5</v>
      </c>
      <c r="J5" s="13"/>
    </row>
    <row r="6" customFormat="false" ht="23.85" hidden="false" customHeight="false" outlineLevel="0" collapsed="false">
      <c r="A6" s="13" t="s">
        <v>213</v>
      </c>
      <c r="B6" s="13" t="s">
        <v>198</v>
      </c>
      <c r="C6" s="13" t="s">
        <v>214</v>
      </c>
      <c r="D6" s="13" t="s">
        <v>215</v>
      </c>
      <c r="E6" s="13" t="s">
        <v>209</v>
      </c>
      <c r="F6" s="16" t="s">
        <v>62</v>
      </c>
      <c r="G6" s="14" t="s">
        <v>46</v>
      </c>
      <c r="H6" s="13" t="s">
        <v>47</v>
      </c>
      <c r="I6" s="15" t="s">
        <v>5</v>
      </c>
      <c r="J6" s="13"/>
    </row>
    <row r="7" customFormat="false" ht="23.85" hidden="false" customHeight="false" outlineLevel="0" collapsed="false">
      <c r="A7" s="13" t="s">
        <v>216</v>
      </c>
      <c r="B7" s="13" t="s">
        <v>198</v>
      </c>
      <c r="C7" s="13" t="s">
        <v>217</v>
      </c>
      <c r="D7" s="13" t="s">
        <v>218</v>
      </c>
      <c r="E7" s="13" t="s">
        <v>219</v>
      </c>
      <c r="F7" s="16" t="s">
        <v>62</v>
      </c>
      <c r="G7" s="14" t="s">
        <v>52</v>
      </c>
      <c r="H7" s="13" t="s">
        <v>47</v>
      </c>
      <c r="I7" s="15" t="s">
        <v>5</v>
      </c>
      <c r="J7" s="13"/>
    </row>
    <row r="8" customFormat="false" ht="23.85" hidden="false" customHeight="false" outlineLevel="0" collapsed="false">
      <c r="A8" s="13" t="s">
        <v>220</v>
      </c>
      <c r="B8" s="13" t="s">
        <v>221</v>
      </c>
      <c r="C8" s="13" t="s">
        <v>222</v>
      </c>
      <c r="D8" s="13" t="s">
        <v>223</v>
      </c>
      <c r="E8" s="13" t="s">
        <v>224</v>
      </c>
      <c r="F8" s="14" t="s">
        <v>45</v>
      </c>
      <c r="G8" s="14" t="s">
        <v>46</v>
      </c>
      <c r="H8" s="13" t="s">
        <v>47</v>
      </c>
      <c r="I8" s="15" t="s">
        <v>5</v>
      </c>
      <c r="J8" s="13"/>
    </row>
    <row r="9" customFormat="false" ht="23.85" hidden="false" customHeight="false" outlineLevel="0" collapsed="false">
      <c r="A9" s="13" t="s">
        <v>225</v>
      </c>
      <c r="B9" s="13" t="s">
        <v>221</v>
      </c>
      <c r="C9" s="13" t="s">
        <v>226</v>
      </c>
      <c r="D9" s="13" t="s">
        <v>227</v>
      </c>
      <c r="E9" s="13" t="s">
        <v>228</v>
      </c>
      <c r="F9" s="14" t="s">
        <v>45</v>
      </c>
      <c r="G9" s="14" t="s">
        <v>52</v>
      </c>
      <c r="H9" s="13" t="s">
        <v>47</v>
      </c>
      <c r="I9" s="15" t="s">
        <v>5</v>
      </c>
      <c r="J9" s="13"/>
    </row>
    <row r="10" customFormat="false" ht="23.85" hidden="false" customHeight="false" outlineLevel="0" collapsed="false">
      <c r="A10" s="13" t="s">
        <v>229</v>
      </c>
      <c r="B10" s="13" t="s">
        <v>230</v>
      </c>
      <c r="C10" s="13" t="s">
        <v>231</v>
      </c>
      <c r="D10" s="13" t="s">
        <v>232</v>
      </c>
      <c r="E10" s="13" t="s">
        <v>233</v>
      </c>
      <c r="F10" s="14" t="s">
        <v>45</v>
      </c>
      <c r="G10" s="14" t="s">
        <v>46</v>
      </c>
      <c r="H10" s="13" t="s">
        <v>47</v>
      </c>
      <c r="I10" s="15" t="s">
        <v>5</v>
      </c>
      <c r="J10" s="13"/>
    </row>
    <row r="11" customFormat="false" ht="23.85" hidden="false" customHeight="false" outlineLevel="0" collapsed="false">
      <c r="A11" s="13" t="s">
        <v>234</v>
      </c>
      <c r="B11" s="13" t="s">
        <v>230</v>
      </c>
      <c r="C11" s="13" t="s">
        <v>116</v>
      </c>
      <c r="D11" s="13" t="s">
        <v>60</v>
      </c>
      <c r="E11" s="13" t="s">
        <v>235</v>
      </c>
      <c r="F11" s="16" t="s">
        <v>62</v>
      </c>
      <c r="G11" s="14" t="s">
        <v>46</v>
      </c>
      <c r="H11" s="13" t="s">
        <v>47</v>
      </c>
      <c r="I11" s="15" t="s">
        <v>5</v>
      </c>
      <c r="J11" s="13"/>
    </row>
    <row r="12" customFormat="false" ht="23.85" hidden="false" customHeight="false" outlineLevel="0" collapsed="false">
      <c r="A12" s="13" t="s">
        <v>236</v>
      </c>
      <c r="B12" s="13" t="s">
        <v>237</v>
      </c>
      <c r="C12" s="13" t="s">
        <v>238</v>
      </c>
      <c r="D12" s="13" t="s">
        <v>239</v>
      </c>
      <c r="E12" s="13" t="s">
        <v>240</v>
      </c>
      <c r="F12" s="14" t="s">
        <v>45</v>
      </c>
      <c r="G12" s="14" t="s">
        <v>46</v>
      </c>
      <c r="H12" s="13" t="s">
        <v>47</v>
      </c>
      <c r="I12" s="15" t="s">
        <v>5</v>
      </c>
      <c r="J12" s="13"/>
    </row>
    <row r="13" customFormat="false" ht="23.85" hidden="false" customHeight="false" outlineLevel="0" collapsed="false">
      <c r="A13" s="13" t="s">
        <v>241</v>
      </c>
      <c r="B13" s="13" t="s">
        <v>237</v>
      </c>
      <c r="C13" s="13" t="s">
        <v>242</v>
      </c>
      <c r="D13" s="13" t="s">
        <v>243</v>
      </c>
      <c r="E13" s="13" t="s">
        <v>244</v>
      </c>
      <c r="F13" s="14" t="s">
        <v>45</v>
      </c>
      <c r="G13" s="14" t="s">
        <v>52</v>
      </c>
      <c r="H13" s="13" t="s">
        <v>47</v>
      </c>
      <c r="I13" s="15" t="s">
        <v>5</v>
      </c>
      <c r="J13" s="13"/>
    </row>
    <row r="14" customFormat="false" ht="23.85" hidden="false" customHeight="false" outlineLevel="0" collapsed="false">
      <c r="A14" s="13" t="s">
        <v>245</v>
      </c>
      <c r="B14" s="13" t="s">
        <v>237</v>
      </c>
      <c r="C14" s="13" t="s">
        <v>116</v>
      </c>
      <c r="D14" s="13" t="s">
        <v>60</v>
      </c>
      <c r="E14" s="13" t="s">
        <v>246</v>
      </c>
      <c r="F14" s="16" t="s">
        <v>62</v>
      </c>
      <c r="G14" s="14" t="s">
        <v>46</v>
      </c>
      <c r="H14" s="13" t="s">
        <v>47</v>
      </c>
      <c r="I14" s="15" t="s">
        <v>5</v>
      </c>
      <c r="J14" s="13"/>
    </row>
    <row r="15" customFormat="false" ht="23.85" hidden="false" customHeight="false" outlineLevel="0" collapsed="false">
      <c r="A15" s="13" t="s">
        <v>247</v>
      </c>
      <c r="B15" s="13" t="s">
        <v>248</v>
      </c>
      <c r="C15" s="13" t="s">
        <v>127</v>
      </c>
      <c r="D15" s="13" t="s">
        <v>128</v>
      </c>
      <c r="E15" s="13" t="s">
        <v>249</v>
      </c>
      <c r="F15" s="14" t="s">
        <v>45</v>
      </c>
      <c r="G15" s="14" t="s">
        <v>46</v>
      </c>
      <c r="H15" s="13" t="s">
        <v>47</v>
      </c>
      <c r="I15" s="15" t="s">
        <v>5</v>
      </c>
      <c r="J15" s="13"/>
    </row>
    <row r="16" customFormat="false" ht="23.85" hidden="false" customHeight="false" outlineLevel="0" collapsed="false">
      <c r="A16" s="13" t="s">
        <v>250</v>
      </c>
      <c r="B16" s="13" t="s">
        <v>248</v>
      </c>
      <c r="C16" s="13" t="s">
        <v>131</v>
      </c>
      <c r="D16" s="13" t="s">
        <v>132</v>
      </c>
      <c r="E16" s="13" t="s">
        <v>251</v>
      </c>
      <c r="F16" s="16" t="s">
        <v>62</v>
      </c>
      <c r="G16" s="14" t="s">
        <v>46</v>
      </c>
      <c r="H16" s="13" t="s">
        <v>47</v>
      </c>
      <c r="I16" s="15" t="s">
        <v>5</v>
      </c>
      <c r="J16" s="13"/>
    </row>
    <row r="17" customFormat="false" ht="23.85" hidden="false" customHeight="false" outlineLevel="0" collapsed="false">
      <c r="A17" s="13" t="s">
        <v>252</v>
      </c>
      <c r="B17" s="13" t="s">
        <v>253</v>
      </c>
      <c r="C17" s="13" t="s">
        <v>254</v>
      </c>
      <c r="D17" s="13" t="s">
        <v>255</v>
      </c>
      <c r="E17" s="13" t="s">
        <v>256</v>
      </c>
      <c r="F17" s="14" t="s">
        <v>45</v>
      </c>
      <c r="G17" s="14" t="s">
        <v>46</v>
      </c>
      <c r="H17" s="13" t="s">
        <v>47</v>
      </c>
      <c r="I17" s="15" t="s">
        <v>5</v>
      </c>
      <c r="J17" s="13"/>
    </row>
    <row r="18" customFormat="false" ht="23.85" hidden="false" customHeight="false" outlineLevel="0" collapsed="false">
      <c r="A18" s="13" t="s">
        <v>257</v>
      </c>
      <c r="B18" s="13" t="s">
        <v>253</v>
      </c>
      <c r="C18" s="13" t="s">
        <v>258</v>
      </c>
      <c r="D18" s="13" t="s">
        <v>259</v>
      </c>
      <c r="E18" s="13" t="s">
        <v>260</v>
      </c>
      <c r="F18" s="14" t="s">
        <v>45</v>
      </c>
      <c r="G18" s="14" t="s">
        <v>46</v>
      </c>
      <c r="H18" s="13" t="s">
        <v>47</v>
      </c>
      <c r="I18" s="15" t="s">
        <v>5</v>
      </c>
      <c r="J18" s="13"/>
    </row>
    <row r="19" customFormat="false" ht="23.85" hidden="false" customHeight="false" outlineLevel="0" collapsed="false">
      <c r="A19" s="13" t="s">
        <v>261</v>
      </c>
      <c r="B19" s="13" t="s">
        <v>253</v>
      </c>
      <c r="C19" s="13" t="s">
        <v>262</v>
      </c>
      <c r="D19" s="13" t="s">
        <v>263</v>
      </c>
      <c r="E19" s="13" t="s">
        <v>264</v>
      </c>
      <c r="F19" s="14" t="s">
        <v>45</v>
      </c>
      <c r="G19" s="14" t="s">
        <v>46</v>
      </c>
      <c r="H19" s="13" t="s">
        <v>47</v>
      </c>
      <c r="I19" s="15" t="s">
        <v>5</v>
      </c>
      <c r="J19" s="13"/>
    </row>
    <row r="20" customFormat="false" ht="23.85" hidden="false" customHeight="false" outlineLevel="0" collapsed="false">
      <c r="A20" s="13" t="s">
        <v>265</v>
      </c>
      <c r="B20" s="13" t="s">
        <v>253</v>
      </c>
      <c r="C20" s="13" t="s">
        <v>266</v>
      </c>
      <c r="D20" s="13" t="s">
        <v>267</v>
      </c>
      <c r="E20" s="13" t="s">
        <v>268</v>
      </c>
      <c r="F20" s="14" t="s">
        <v>45</v>
      </c>
      <c r="G20" s="14" t="s">
        <v>52</v>
      </c>
      <c r="H20" s="13" t="s">
        <v>47</v>
      </c>
      <c r="I20" s="15" t="s">
        <v>5</v>
      </c>
      <c r="J20" s="13"/>
    </row>
    <row r="21" customFormat="false" ht="23.85" hidden="false" customHeight="false" outlineLevel="0" collapsed="false">
      <c r="A21" s="13" t="s">
        <v>269</v>
      </c>
      <c r="B21" s="13" t="s">
        <v>253</v>
      </c>
      <c r="C21" s="13" t="s">
        <v>270</v>
      </c>
      <c r="D21" s="13" t="s">
        <v>271</v>
      </c>
      <c r="E21" s="13" t="s">
        <v>272</v>
      </c>
      <c r="F21" s="14" t="s">
        <v>45</v>
      </c>
      <c r="G21" s="14" t="s">
        <v>52</v>
      </c>
      <c r="H21" s="13" t="s">
        <v>47</v>
      </c>
      <c r="I21" s="15" t="s">
        <v>5</v>
      </c>
      <c r="J21" s="13"/>
    </row>
    <row r="22" customFormat="false" ht="23.85" hidden="false" customHeight="false" outlineLevel="0" collapsed="false">
      <c r="A22" s="13" t="s">
        <v>273</v>
      </c>
      <c r="B22" s="13" t="s">
        <v>253</v>
      </c>
      <c r="C22" s="13" t="s">
        <v>274</v>
      </c>
      <c r="D22" s="13" t="s">
        <v>275</v>
      </c>
      <c r="E22" s="13" t="s">
        <v>272</v>
      </c>
      <c r="F22" s="14" t="s">
        <v>45</v>
      </c>
      <c r="G22" s="14" t="s">
        <v>52</v>
      </c>
      <c r="H22" s="13" t="s">
        <v>47</v>
      </c>
      <c r="I22" s="15" t="s">
        <v>5</v>
      </c>
      <c r="J22" s="13"/>
    </row>
    <row r="23" customFormat="false" ht="23.85" hidden="false" customHeight="false" outlineLevel="0" collapsed="false">
      <c r="A23" s="13" t="s">
        <v>276</v>
      </c>
      <c r="B23" s="13" t="s">
        <v>253</v>
      </c>
      <c r="C23" s="13" t="s">
        <v>277</v>
      </c>
      <c r="D23" s="13" t="s">
        <v>278</v>
      </c>
      <c r="E23" s="13" t="s">
        <v>228</v>
      </c>
      <c r="F23" s="14" t="s">
        <v>45</v>
      </c>
      <c r="G23" s="14" t="s">
        <v>52</v>
      </c>
      <c r="H23" s="13" t="s">
        <v>47</v>
      </c>
      <c r="I23" s="15" t="s">
        <v>5</v>
      </c>
      <c r="J23" s="13"/>
    </row>
    <row r="24" customFormat="false" ht="23.85" hidden="false" customHeight="false" outlineLevel="0" collapsed="false">
      <c r="A24" s="13" t="s">
        <v>279</v>
      </c>
      <c r="B24" s="13" t="s">
        <v>253</v>
      </c>
      <c r="C24" s="13" t="s">
        <v>280</v>
      </c>
      <c r="D24" s="13" t="s">
        <v>281</v>
      </c>
      <c r="E24" s="13" t="s">
        <v>282</v>
      </c>
      <c r="F24" s="16" t="s">
        <v>62</v>
      </c>
      <c r="G24" s="14" t="s">
        <v>52</v>
      </c>
      <c r="H24" s="13" t="s">
        <v>47</v>
      </c>
      <c r="I24" s="15" t="s">
        <v>5</v>
      </c>
      <c r="J24" s="13"/>
    </row>
    <row r="25" customFormat="false" ht="23.85" hidden="false" customHeight="false" outlineLevel="0" collapsed="false">
      <c r="A25" s="13" t="s">
        <v>283</v>
      </c>
      <c r="B25" s="13" t="s">
        <v>284</v>
      </c>
      <c r="C25" s="13" t="s">
        <v>285</v>
      </c>
      <c r="D25" s="13" t="s">
        <v>137</v>
      </c>
      <c r="E25" s="13" t="s">
        <v>138</v>
      </c>
      <c r="F25" s="14" t="s">
        <v>45</v>
      </c>
      <c r="G25" s="14" t="s">
        <v>139</v>
      </c>
      <c r="H25" s="13" t="s">
        <v>47</v>
      </c>
      <c r="I25" s="15" t="s">
        <v>5</v>
      </c>
      <c r="J25" s="13"/>
    </row>
    <row r="26" customFormat="false" ht="23.85" hidden="false" customHeight="false" outlineLevel="0" collapsed="false">
      <c r="A26" s="13" t="s">
        <v>286</v>
      </c>
      <c r="B26" s="13" t="s">
        <v>287</v>
      </c>
      <c r="C26" s="13" t="s">
        <v>288</v>
      </c>
      <c r="D26" s="13" t="s">
        <v>289</v>
      </c>
      <c r="E26" s="13" t="s">
        <v>290</v>
      </c>
      <c r="F26" s="14" t="s">
        <v>45</v>
      </c>
      <c r="G26" s="14" t="s">
        <v>52</v>
      </c>
      <c r="H26" s="13"/>
      <c r="I26" s="14" t="s">
        <v>8</v>
      </c>
      <c r="J26" s="13" t="s">
        <v>149</v>
      </c>
    </row>
  </sheetData>
  <autoFilter ref="A1:J26"/>
  <dataValidations count="1">
    <dataValidation allowBlank="false" errorStyle="stop" operator="between" showDropDown="false" showErrorMessage="false" showInputMessage="false" sqref="I2:I26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291</v>
      </c>
      <c r="B2" s="13" t="s">
        <v>292</v>
      </c>
      <c r="C2" s="13" t="s">
        <v>222</v>
      </c>
      <c r="D2" s="13" t="s">
        <v>293</v>
      </c>
      <c r="E2" s="13" t="s">
        <v>294</v>
      </c>
      <c r="F2" s="14" t="s">
        <v>45</v>
      </c>
      <c r="G2" s="14" t="s">
        <v>46</v>
      </c>
      <c r="H2" s="13" t="s">
        <v>47</v>
      </c>
      <c r="I2" s="15" t="s">
        <v>5</v>
      </c>
      <c r="J2" s="13"/>
    </row>
    <row r="3" customFormat="false" ht="23.85" hidden="false" customHeight="false" outlineLevel="0" collapsed="false">
      <c r="A3" s="13" t="s">
        <v>295</v>
      </c>
      <c r="B3" s="13" t="s">
        <v>292</v>
      </c>
      <c r="C3" s="13" t="s">
        <v>226</v>
      </c>
      <c r="D3" s="13" t="s">
        <v>227</v>
      </c>
      <c r="E3" s="13" t="s">
        <v>228</v>
      </c>
      <c r="F3" s="14" t="s">
        <v>45</v>
      </c>
      <c r="G3" s="14" t="s">
        <v>52</v>
      </c>
      <c r="H3" s="13" t="s">
        <v>47</v>
      </c>
      <c r="I3" s="15" t="s">
        <v>5</v>
      </c>
      <c r="J3" s="13"/>
    </row>
    <row r="4" customFormat="false" ht="23.85" hidden="false" customHeight="false" outlineLevel="0" collapsed="false">
      <c r="A4" s="13" t="s">
        <v>296</v>
      </c>
      <c r="B4" s="13" t="s">
        <v>297</v>
      </c>
      <c r="C4" s="13" t="s">
        <v>298</v>
      </c>
      <c r="D4" s="13" t="s">
        <v>299</v>
      </c>
      <c r="E4" s="13" t="s">
        <v>300</v>
      </c>
      <c r="F4" s="14" t="s">
        <v>45</v>
      </c>
      <c r="G4" s="14" t="s">
        <v>46</v>
      </c>
      <c r="H4" s="13" t="s">
        <v>47</v>
      </c>
      <c r="I4" s="15" t="s">
        <v>5</v>
      </c>
      <c r="J4" s="13"/>
    </row>
    <row r="5" customFormat="false" ht="23.85" hidden="false" customHeight="false" outlineLevel="0" collapsed="false">
      <c r="A5" s="13" t="s">
        <v>301</v>
      </c>
      <c r="B5" s="13" t="s">
        <v>297</v>
      </c>
      <c r="C5" s="13" t="s">
        <v>302</v>
      </c>
      <c r="D5" s="13" t="s">
        <v>303</v>
      </c>
      <c r="E5" s="13" t="s">
        <v>304</v>
      </c>
      <c r="F5" s="16" t="s">
        <v>62</v>
      </c>
      <c r="G5" s="14" t="s">
        <v>46</v>
      </c>
      <c r="H5" s="13" t="s">
        <v>47</v>
      </c>
      <c r="I5" s="15" t="s">
        <v>5</v>
      </c>
      <c r="J5" s="13"/>
    </row>
    <row r="6" customFormat="false" ht="23.85" hidden="false" customHeight="false" outlineLevel="0" collapsed="false">
      <c r="A6" s="13" t="s">
        <v>305</v>
      </c>
      <c r="B6" s="13" t="s">
        <v>306</v>
      </c>
      <c r="C6" s="13" t="s">
        <v>307</v>
      </c>
      <c r="D6" s="13" t="s">
        <v>308</v>
      </c>
      <c r="E6" s="13" t="s">
        <v>309</v>
      </c>
      <c r="F6" s="14" t="s">
        <v>45</v>
      </c>
      <c r="G6" s="14" t="s">
        <v>46</v>
      </c>
      <c r="H6" s="13" t="s">
        <v>47</v>
      </c>
      <c r="I6" s="15" t="s">
        <v>5</v>
      </c>
      <c r="J6" s="13"/>
    </row>
    <row r="7" customFormat="false" ht="23.85" hidden="false" customHeight="false" outlineLevel="0" collapsed="false">
      <c r="A7" s="13" t="s">
        <v>310</v>
      </c>
      <c r="B7" s="13" t="s">
        <v>306</v>
      </c>
      <c r="C7" s="13" t="s">
        <v>311</v>
      </c>
      <c r="D7" s="13" t="s">
        <v>312</v>
      </c>
      <c r="E7" s="13" t="s">
        <v>313</v>
      </c>
      <c r="F7" s="16" t="s">
        <v>62</v>
      </c>
      <c r="G7" s="14" t="s">
        <v>46</v>
      </c>
      <c r="H7" s="13" t="s">
        <v>47</v>
      </c>
      <c r="I7" s="15" t="s">
        <v>5</v>
      </c>
      <c r="J7" s="13"/>
    </row>
    <row r="8" customFormat="false" ht="23.85" hidden="false" customHeight="false" outlineLevel="0" collapsed="false">
      <c r="A8" s="13" t="s">
        <v>314</v>
      </c>
      <c r="B8" s="13" t="s">
        <v>306</v>
      </c>
      <c r="C8" s="13" t="s">
        <v>315</v>
      </c>
      <c r="D8" s="13" t="s">
        <v>316</v>
      </c>
      <c r="E8" s="13" t="s">
        <v>313</v>
      </c>
      <c r="F8" s="16" t="s">
        <v>62</v>
      </c>
      <c r="G8" s="14" t="s">
        <v>46</v>
      </c>
      <c r="H8" s="13" t="s">
        <v>47</v>
      </c>
      <c r="I8" s="15" t="s">
        <v>5</v>
      </c>
      <c r="J8" s="13"/>
    </row>
    <row r="9" customFormat="false" ht="23.85" hidden="false" customHeight="false" outlineLevel="0" collapsed="false">
      <c r="A9" s="13" t="s">
        <v>317</v>
      </c>
      <c r="B9" s="13" t="s">
        <v>306</v>
      </c>
      <c r="C9" s="13" t="s">
        <v>318</v>
      </c>
      <c r="D9" s="13" t="s">
        <v>319</v>
      </c>
      <c r="E9" s="13" t="s">
        <v>320</v>
      </c>
      <c r="F9" s="14" t="s">
        <v>45</v>
      </c>
      <c r="G9" s="14" t="s">
        <v>52</v>
      </c>
      <c r="H9" s="13" t="s">
        <v>47</v>
      </c>
      <c r="I9" s="15" t="s">
        <v>5</v>
      </c>
      <c r="J9" s="13"/>
    </row>
    <row r="10" customFormat="false" ht="23.85" hidden="false" customHeight="false" outlineLevel="0" collapsed="false">
      <c r="A10" s="13" t="s">
        <v>321</v>
      </c>
      <c r="B10" s="13" t="s">
        <v>306</v>
      </c>
      <c r="C10" s="13" t="s">
        <v>322</v>
      </c>
      <c r="D10" s="13" t="s">
        <v>323</v>
      </c>
      <c r="E10" s="13" t="s">
        <v>324</v>
      </c>
      <c r="F10" s="16" t="s">
        <v>62</v>
      </c>
      <c r="G10" s="14" t="s">
        <v>46</v>
      </c>
      <c r="H10" s="13" t="s">
        <v>47</v>
      </c>
      <c r="I10" s="15" t="s">
        <v>5</v>
      </c>
      <c r="J10" s="13"/>
    </row>
    <row r="11" customFormat="false" ht="23.85" hidden="false" customHeight="false" outlineLevel="0" collapsed="false">
      <c r="A11" s="13" t="s">
        <v>325</v>
      </c>
      <c r="B11" s="13" t="s">
        <v>306</v>
      </c>
      <c r="C11" s="13" t="s">
        <v>326</v>
      </c>
      <c r="D11" s="13" t="s">
        <v>327</v>
      </c>
      <c r="E11" s="13" t="s">
        <v>324</v>
      </c>
      <c r="F11" s="16" t="s">
        <v>62</v>
      </c>
      <c r="G11" s="14" t="s">
        <v>46</v>
      </c>
      <c r="H11" s="13" t="s">
        <v>47</v>
      </c>
      <c r="I11" s="15" t="s">
        <v>5</v>
      </c>
      <c r="J11" s="13"/>
    </row>
    <row r="12" customFormat="false" ht="23.85" hidden="false" customHeight="false" outlineLevel="0" collapsed="false">
      <c r="A12" s="13" t="s">
        <v>328</v>
      </c>
      <c r="B12" s="13" t="s">
        <v>329</v>
      </c>
      <c r="C12" s="13" t="s">
        <v>330</v>
      </c>
      <c r="D12" s="13" t="s">
        <v>331</v>
      </c>
      <c r="E12" s="13" t="s">
        <v>332</v>
      </c>
      <c r="F12" s="14" t="s">
        <v>45</v>
      </c>
      <c r="G12" s="14" t="s">
        <v>46</v>
      </c>
      <c r="H12" s="13" t="s">
        <v>47</v>
      </c>
      <c r="I12" s="15" t="s">
        <v>5</v>
      </c>
      <c r="J12" s="13"/>
    </row>
    <row r="13" customFormat="false" ht="23.85" hidden="false" customHeight="false" outlineLevel="0" collapsed="false">
      <c r="A13" s="13" t="s">
        <v>333</v>
      </c>
      <c r="B13" s="13" t="s">
        <v>329</v>
      </c>
      <c r="C13" s="13" t="s">
        <v>334</v>
      </c>
      <c r="D13" s="13" t="s">
        <v>335</v>
      </c>
      <c r="E13" s="13" t="s">
        <v>336</v>
      </c>
      <c r="F13" s="14" t="s">
        <v>45</v>
      </c>
      <c r="G13" s="14" t="s">
        <v>52</v>
      </c>
      <c r="H13" s="13" t="s">
        <v>47</v>
      </c>
      <c r="I13" s="15" t="s">
        <v>5</v>
      </c>
      <c r="J13" s="13"/>
    </row>
    <row r="14" customFormat="false" ht="23.85" hidden="false" customHeight="false" outlineLevel="0" collapsed="false">
      <c r="A14" s="13" t="s">
        <v>337</v>
      </c>
      <c r="B14" s="13" t="s">
        <v>329</v>
      </c>
      <c r="C14" s="13" t="s">
        <v>116</v>
      </c>
      <c r="D14" s="13" t="s">
        <v>60</v>
      </c>
      <c r="E14" s="13" t="s">
        <v>338</v>
      </c>
      <c r="F14" s="16" t="s">
        <v>62</v>
      </c>
      <c r="G14" s="14" t="s">
        <v>46</v>
      </c>
      <c r="H14" s="13" t="s">
        <v>47</v>
      </c>
      <c r="I14" s="15" t="s">
        <v>5</v>
      </c>
      <c r="J14" s="13"/>
    </row>
    <row r="15" customFormat="false" ht="23.85" hidden="false" customHeight="false" outlineLevel="0" collapsed="false">
      <c r="A15" s="13" t="s">
        <v>339</v>
      </c>
      <c r="B15" s="13" t="s">
        <v>329</v>
      </c>
      <c r="C15" s="13" t="s">
        <v>340</v>
      </c>
      <c r="D15" s="13" t="s">
        <v>341</v>
      </c>
      <c r="E15" s="13" t="s">
        <v>342</v>
      </c>
      <c r="F15" s="16" t="s">
        <v>62</v>
      </c>
      <c r="G15" s="14" t="s">
        <v>139</v>
      </c>
      <c r="H15" s="13" t="s">
        <v>47</v>
      </c>
      <c r="I15" s="15" t="s">
        <v>5</v>
      </c>
      <c r="J15" s="13"/>
    </row>
    <row r="16" customFormat="false" ht="23.85" hidden="false" customHeight="false" outlineLevel="0" collapsed="false">
      <c r="A16" s="13" t="s">
        <v>343</v>
      </c>
      <c r="B16" s="13" t="s">
        <v>344</v>
      </c>
      <c r="C16" s="13" t="s">
        <v>345</v>
      </c>
      <c r="D16" s="13" t="s">
        <v>346</v>
      </c>
      <c r="E16" s="13" t="s">
        <v>347</v>
      </c>
      <c r="F16" s="14" t="s">
        <v>45</v>
      </c>
      <c r="G16" s="14" t="s">
        <v>46</v>
      </c>
      <c r="H16" s="13" t="s">
        <v>47</v>
      </c>
      <c r="I16" s="15" t="s">
        <v>5</v>
      </c>
      <c r="J16" s="13"/>
    </row>
    <row r="17" customFormat="false" ht="23.85" hidden="false" customHeight="false" outlineLevel="0" collapsed="false">
      <c r="A17" s="13" t="s">
        <v>348</v>
      </c>
      <c r="B17" s="13" t="s">
        <v>344</v>
      </c>
      <c r="C17" s="13" t="s">
        <v>131</v>
      </c>
      <c r="D17" s="13" t="s">
        <v>60</v>
      </c>
      <c r="E17" s="13" t="s">
        <v>349</v>
      </c>
      <c r="F17" s="16" t="s">
        <v>62</v>
      </c>
      <c r="G17" s="14" t="s">
        <v>52</v>
      </c>
      <c r="H17" s="13" t="s">
        <v>47</v>
      </c>
      <c r="I17" s="15" t="s">
        <v>5</v>
      </c>
      <c r="J17" s="13"/>
    </row>
    <row r="18" customFormat="false" ht="23.85" hidden="false" customHeight="false" outlineLevel="0" collapsed="false">
      <c r="A18" s="13" t="s">
        <v>350</v>
      </c>
      <c r="B18" s="13" t="s">
        <v>351</v>
      </c>
      <c r="C18" s="13" t="s">
        <v>352</v>
      </c>
      <c r="D18" s="13" t="s">
        <v>353</v>
      </c>
      <c r="E18" s="13" t="s">
        <v>354</v>
      </c>
      <c r="F18" s="14" t="s">
        <v>45</v>
      </c>
      <c r="G18" s="14" t="s">
        <v>46</v>
      </c>
      <c r="H18" s="13" t="s">
        <v>47</v>
      </c>
      <c r="I18" s="15" t="s">
        <v>5</v>
      </c>
      <c r="J18" s="13"/>
    </row>
    <row r="19" customFormat="false" ht="23.85" hidden="false" customHeight="false" outlineLevel="0" collapsed="false">
      <c r="A19" s="13" t="s">
        <v>355</v>
      </c>
      <c r="B19" s="13" t="s">
        <v>351</v>
      </c>
      <c r="C19" s="13" t="s">
        <v>356</v>
      </c>
      <c r="D19" s="13" t="s">
        <v>357</v>
      </c>
      <c r="E19" s="13" t="s">
        <v>358</v>
      </c>
      <c r="F19" s="14" t="s">
        <v>45</v>
      </c>
      <c r="G19" s="14" t="s">
        <v>46</v>
      </c>
      <c r="H19" s="13" t="s">
        <v>47</v>
      </c>
      <c r="I19" s="15" t="s">
        <v>5</v>
      </c>
      <c r="J19" s="13"/>
    </row>
    <row r="20" customFormat="false" ht="23.85" hidden="false" customHeight="false" outlineLevel="0" collapsed="false">
      <c r="A20" s="13" t="s">
        <v>359</v>
      </c>
      <c r="B20" s="13" t="s">
        <v>351</v>
      </c>
      <c r="C20" s="13" t="s">
        <v>360</v>
      </c>
      <c r="D20" s="13" t="s">
        <v>361</v>
      </c>
      <c r="E20" s="13" t="s">
        <v>362</v>
      </c>
      <c r="F20" s="14" t="s">
        <v>45</v>
      </c>
      <c r="G20" s="14" t="s">
        <v>52</v>
      </c>
      <c r="H20" s="13" t="s">
        <v>47</v>
      </c>
      <c r="I20" s="15" t="s">
        <v>5</v>
      </c>
      <c r="J20" s="13"/>
    </row>
    <row r="21" customFormat="false" ht="23.85" hidden="false" customHeight="false" outlineLevel="0" collapsed="false">
      <c r="A21" s="13" t="s">
        <v>363</v>
      </c>
      <c r="B21" s="13" t="s">
        <v>351</v>
      </c>
      <c r="C21" s="13" t="s">
        <v>277</v>
      </c>
      <c r="D21" s="13" t="s">
        <v>278</v>
      </c>
      <c r="E21" s="13" t="s">
        <v>228</v>
      </c>
      <c r="F21" s="14" t="s">
        <v>45</v>
      </c>
      <c r="G21" s="14" t="s">
        <v>52</v>
      </c>
      <c r="H21" s="13" t="s">
        <v>47</v>
      </c>
      <c r="I21" s="15" t="s">
        <v>5</v>
      </c>
      <c r="J21" s="13"/>
    </row>
    <row r="22" customFormat="false" ht="23.85" hidden="false" customHeight="false" outlineLevel="0" collapsed="false">
      <c r="A22" s="13" t="s">
        <v>364</v>
      </c>
      <c r="B22" s="13" t="s">
        <v>365</v>
      </c>
      <c r="C22" s="13" t="s">
        <v>366</v>
      </c>
      <c r="D22" s="13" t="s">
        <v>367</v>
      </c>
      <c r="E22" s="13" t="s">
        <v>368</v>
      </c>
      <c r="F22" s="14" t="s">
        <v>45</v>
      </c>
      <c r="G22" s="14" t="s">
        <v>52</v>
      </c>
      <c r="H22" s="13"/>
      <c r="I22" s="14" t="s">
        <v>8</v>
      </c>
      <c r="J22" s="13" t="s">
        <v>149</v>
      </c>
    </row>
  </sheetData>
  <autoFilter ref="A1:J22"/>
  <dataValidations count="1">
    <dataValidation allowBlank="false" errorStyle="stop" operator="between" showDropDown="false" showErrorMessage="false" showInputMessage="false" sqref="I2:I22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369</v>
      </c>
      <c r="B2" s="13" t="s">
        <v>370</v>
      </c>
      <c r="C2" s="13" t="s">
        <v>371</v>
      </c>
      <c r="D2" s="13" t="s">
        <v>372</v>
      </c>
      <c r="E2" s="13" t="s">
        <v>373</v>
      </c>
      <c r="F2" s="14" t="s">
        <v>45</v>
      </c>
      <c r="G2" s="14" t="s">
        <v>46</v>
      </c>
      <c r="H2" s="13" t="s">
        <v>47</v>
      </c>
      <c r="I2" s="15" t="s">
        <v>5</v>
      </c>
      <c r="J2" s="13"/>
    </row>
    <row r="3" customFormat="false" ht="23.85" hidden="false" customHeight="false" outlineLevel="0" collapsed="false">
      <c r="A3" s="13" t="s">
        <v>374</v>
      </c>
      <c r="B3" s="13" t="s">
        <v>375</v>
      </c>
      <c r="C3" s="13" t="s">
        <v>376</v>
      </c>
      <c r="D3" s="13" t="s">
        <v>372</v>
      </c>
      <c r="E3" s="13" t="s">
        <v>377</v>
      </c>
      <c r="F3" s="14" t="s">
        <v>45</v>
      </c>
      <c r="G3" s="14" t="s">
        <v>46</v>
      </c>
      <c r="H3" s="13" t="s">
        <v>47</v>
      </c>
      <c r="I3" s="15" t="s">
        <v>5</v>
      </c>
      <c r="J3" s="13"/>
    </row>
    <row r="4" customFormat="false" ht="23.85" hidden="false" customHeight="false" outlineLevel="0" collapsed="false">
      <c r="A4" s="13" t="s">
        <v>378</v>
      </c>
      <c r="B4" s="13" t="s">
        <v>379</v>
      </c>
      <c r="C4" s="13" t="s">
        <v>380</v>
      </c>
      <c r="D4" s="13" t="s">
        <v>381</v>
      </c>
      <c r="E4" s="13" t="s">
        <v>382</v>
      </c>
      <c r="F4" s="14" t="s">
        <v>45</v>
      </c>
      <c r="G4" s="14" t="s">
        <v>46</v>
      </c>
      <c r="H4" s="13" t="s">
        <v>47</v>
      </c>
      <c r="I4" s="15" t="s">
        <v>5</v>
      </c>
      <c r="J4" s="13"/>
    </row>
    <row r="5" customFormat="false" ht="23.85" hidden="false" customHeight="false" outlineLevel="0" collapsed="false">
      <c r="A5" s="13" t="s">
        <v>383</v>
      </c>
      <c r="B5" s="13" t="s">
        <v>379</v>
      </c>
      <c r="C5" s="13" t="s">
        <v>384</v>
      </c>
      <c r="D5" s="13" t="s">
        <v>385</v>
      </c>
      <c r="E5" s="13" t="s">
        <v>386</v>
      </c>
      <c r="F5" s="14" t="s">
        <v>45</v>
      </c>
      <c r="G5" s="14" t="s">
        <v>52</v>
      </c>
      <c r="H5" s="13" t="s">
        <v>47</v>
      </c>
      <c r="I5" s="15" t="s">
        <v>5</v>
      </c>
      <c r="J5" s="13"/>
    </row>
    <row r="6" customFormat="false" ht="23.85" hidden="false" customHeight="false" outlineLevel="0" collapsed="false">
      <c r="A6" s="13" t="s">
        <v>387</v>
      </c>
      <c r="B6" s="13" t="s">
        <v>379</v>
      </c>
      <c r="C6" s="13" t="s">
        <v>388</v>
      </c>
      <c r="D6" s="13" t="s">
        <v>389</v>
      </c>
      <c r="E6" s="13" t="s">
        <v>390</v>
      </c>
      <c r="F6" s="16" t="s">
        <v>62</v>
      </c>
      <c r="G6" s="14" t="s">
        <v>139</v>
      </c>
      <c r="H6" s="13" t="s">
        <v>391</v>
      </c>
      <c r="I6" s="17" t="s">
        <v>6</v>
      </c>
      <c r="J6" s="13" t="s">
        <v>392</v>
      </c>
    </row>
    <row r="7" customFormat="false" ht="23.85" hidden="false" customHeight="false" outlineLevel="0" collapsed="false">
      <c r="A7" s="13" t="s">
        <v>393</v>
      </c>
      <c r="B7" s="13" t="s">
        <v>394</v>
      </c>
      <c r="C7" s="13" t="s">
        <v>82</v>
      </c>
      <c r="D7" s="13" t="s">
        <v>395</v>
      </c>
      <c r="E7" s="13" t="s">
        <v>396</v>
      </c>
      <c r="F7" s="14" t="s">
        <v>45</v>
      </c>
      <c r="G7" s="14" t="s">
        <v>46</v>
      </c>
      <c r="H7" s="13" t="s">
        <v>47</v>
      </c>
      <c r="I7" s="15" t="s">
        <v>5</v>
      </c>
      <c r="J7" s="13"/>
    </row>
    <row r="8" customFormat="false" ht="23.85" hidden="false" customHeight="false" outlineLevel="0" collapsed="false">
      <c r="A8" s="13" t="s">
        <v>397</v>
      </c>
      <c r="B8" s="13" t="s">
        <v>394</v>
      </c>
      <c r="C8" s="13" t="s">
        <v>398</v>
      </c>
      <c r="D8" s="13" t="s">
        <v>399</v>
      </c>
      <c r="E8" s="13" t="s">
        <v>400</v>
      </c>
      <c r="F8" s="16" t="s">
        <v>62</v>
      </c>
      <c r="G8" s="14" t="s">
        <v>46</v>
      </c>
      <c r="H8" s="13" t="s">
        <v>47</v>
      </c>
      <c r="I8" s="15" t="s">
        <v>5</v>
      </c>
      <c r="J8" s="13"/>
    </row>
    <row r="9" customFormat="false" ht="23.85" hidden="false" customHeight="false" outlineLevel="0" collapsed="false">
      <c r="A9" s="13" t="s">
        <v>401</v>
      </c>
      <c r="B9" s="13" t="s">
        <v>402</v>
      </c>
      <c r="C9" s="13" t="s">
        <v>403</v>
      </c>
      <c r="D9" s="13" t="s">
        <v>404</v>
      </c>
      <c r="E9" s="13" t="s">
        <v>386</v>
      </c>
      <c r="F9" s="14" t="s">
        <v>45</v>
      </c>
      <c r="G9" s="14" t="s">
        <v>46</v>
      </c>
      <c r="H9" s="13" t="s">
        <v>47</v>
      </c>
      <c r="I9" s="15" t="s">
        <v>5</v>
      </c>
      <c r="J9" s="13"/>
    </row>
    <row r="10" customFormat="false" ht="23.85" hidden="false" customHeight="false" outlineLevel="0" collapsed="false">
      <c r="A10" s="13" t="s">
        <v>405</v>
      </c>
      <c r="B10" s="13" t="s">
        <v>402</v>
      </c>
      <c r="C10" s="13" t="s">
        <v>116</v>
      </c>
      <c r="D10" s="13" t="s">
        <v>406</v>
      </c>
      <c r="E10" s="13" t="s">
        <v>407</v>
      </c>
      <c r="F10" s="16" t="s">
        <v>62</v>
      </c>
      <c r="G10" s="14" t="s">
        <v>46</v>
      </c>
      <c r="H10" s="13" t="s">
        <v>47</v>
      </c>
      <c r="I10" s="15" t="s">
        <v>5</v>
      </c>
      <c r="J10" s="13"/>
    </row>
    <row r="11" customFormat="false" ht="23.85" hidden="false" customHeight="false" outlineLevel="0" collapsed="false">
      <c r="A11" s="13" t="s">
        <v>408</v>
      </c>
      <c r="B11" s="13" t="s">
        <v>409</v>
      </c>
      <c r="C11" s="13" t="s">
        <v>410</v>
      </c>
      <c r="D11" s="13" t="s">
        <v>411</v>
      </c>
      <c r="E11" s="13" t="s">
        <v>386</v>
      </c>
      <c r="F11" s="14" t="s">
        <v>45</v>
      </c>
      <c r="G11" s="14" t="s">
        <v>46</v>
      </c>
      <c r="H11" s="13" t="s">
        <v>47</v>
      </c>
      <c r="I11" s="15" t="s">
        <v>5</v>
      </c>
      <c r="J11" s="13"/>
    </row>
    <row r="12" customFormat="false" ht="23.85" hidden="false" customHeight="false" outlineLevel="0" collapsed="false">
      <c r="A12" s="13" t="s">
        <v>412</v>
      </c>
      <c r="B12" s="13" t="s">
        <v>409</v>
      </c>
      <c r="C12" s="13" t="s">
        <v>116</v>
      </c>
      <c r="D12" s="13" t="s">
        <v>406</v>
      </c>
      <c r="E12" s="13" t="s">
        <v>407</v>
      </c>
      <c r="F12" s="16" t="s">
        <v>62</v>
      </c>
      <c r="G12" s="14" t="s">
        <v>46</v>
      </c>
      <c r="H12" s="13" t="s">
        <v>47</v>
      </c>
      <c r="I12" s="15" t="s">
        <v>5</v>
      </c>
      <c r="J12" s="13"/>
    </row>
    <row r="13" customFormat="false" ht="23.85" hidden="false" customHeight="false" outlineLevel="0" collapsed="false">
      <c r="A13" s="13" t="s">
        <v>413</v>
      </c>
      <c r="B13" s="13" t="s">
        <v>414</v>
      </c>
      <c r="C13" s="13" t="s">
        <v>415</v>
      </c>
      <c r="D13" s="13" t="s">
        <v>372</v>
      </c>
      <c r="E13" s="13" t="s">
        <v>416</v>
      </c>
      <c r="F13" s="14" t="s">
        <v>45</v>
      </c>
      <c r="G13" s="14" t="s">
        <v>46</v>
      </c>
      <c r="H13" s="13" t="s">
        <v>47</v>
      </c>
      <c r="I13" s="15" t="s">
        <v>5</v>
      </c>
      <c r="J13" s="13"/>
    </row>
    <row r="14" customFormat="false" ht="23.85" hidden="false" customHeight="false" outlineLevel="0" collapsed="false">
      <c r="A14" s="13" t="s">
        <v>417</v>
      </c>
      <c r="B14" s="13" t="s">
        <v>418</v>
      </c>
      <c r="C14" s="13" t="s">
        <v>380</v>
      </c>
      <c r="D14" s="13" t="s">
        <v>381</v>
      </c>
      <c r="E14" s="13" t="s">
        <v>419</v>
      </c>
      <c r="F14" s="14" t="s">
        <v>45</v>
      </c>
      <c r="G14" s="14" t="s">
        <v>46</v>
      </c>
      <c r="H14" s="13" t="s">
        <v>47</v>
      </c>
      <c r="I14" s="15" t="s">
        <v>5</v>
      </c>
      <c r="J14" s="13"/>
    </row>
    <row r="15" customFormat="false" ht="23.85" hidden="false" customHeight="false" outlineLevel="0" collapsed="false">
      <c r="A15" s="13" t="s">
        <v>420</v>
      </c>
      <c r="B15" s="13" t="s">
        <v>418</v>
      </c>
      <c r="C15" s="13" t="s">
        <v>384</v>
      </c>
      <c r="D15" s="13" t="s">
        <v>385</v>
      </c>
      <c r="E15" s="13" t="s">
        <v>421</v>
      </c>
      <c r="F15" s="14" t="s">
        <v>45</v>
      </c>
      <c r="G15" s="14" t="s">
        <v>52</v>
      </c>
      <c r="H15" s="13" t="s">
        <v>47</v>
      </c>
      <c r="I15" s="15" t="s">
        <v>5</v>
      </c>
      <c r="J15" s="13"/>
    </row>
    <row r="16" customFormat="false" ht="23.85" hidden="false" customHeight="false" outlineLevel="0" collapsed="false">
      <c r="A16" s="13" t="s">
        <v>422</v>
      </c>
      <c r="B16" s="13" t="s">
        <v>418</v>
      </c>
      <c r="C16" s="13" t="s">
        <v>388</v>
      </c>
      <c r="D16" s="13" t="s">
        <v>389</v>
      </c>
      <c r="E16" s="13" t="s">
        <v>390</v>
      </c>
      <c r="F16" s="16" t="s">
        <v>62</v>
      </c>
      <c r="G16" s="14" t="s">
        <v>139</v>
      </c>
      <c r="H16" s="13" t="s">
        <v>391</v>
      </c>
      <c r="I16" s="17" t="s">
        <v>6</v>
      </c>
      <c r="J16" s="13" t="s">
        <v>392</v>
      </c>
    </row>
    <row r="17" customFormat="false" ht="23.85" hidden="false" customHeight="false" outlineLevel="0" collapsed="false">
      <c r="A17" s="13" t="s">
        <v>423</v>
      </c>
      <c r="B17" s="13" t="s">
        <v>424</v>
      </c>
      <c r="C17" s="13" t="s">
        <v>82</v>
      </c>
      <c r="D17" s="13" t="s">
        <v>395</v>
      </c>
      <c r="E17" s="13" t="s">
        <v>425</v>
      </c>
      <c r="F17" s="14" t="s">
        <v>45</v>
      </c>
      <c r="G17" s="14" t="s">
        <v>46</v>
      </c>
      <c r="H17" s="13" t="s">
        <v>47</v>
      </c>
      <c r="I17" s="15" t="s">
        <v>5</v>
      </c>
      <c r="J17" s="13"/>
    </row>
    <row r="18" customFormat="false" ht="23.85" hidden="false" customHeight="false" outlineLevel="0" collapsed="false">
      <c r="A18" s="13" t="s">
        <v>426</v>
      </c>
      <c r="B18" s="13" t="s">
        <v>424</v>
      </c>
      <c r="C18" s="13" t="s">
        <v>398</v>
      </c>
      <c r="D18" s="13" t="s">
        <v>399</v>
      </c>
      <c r="E18" s="13" t="s">
        <v>400</v>
      </c>
      <c r="F18" s="16" t="s">
        <v>62</v>
      </c>
      <c r="G18" s="14" t="s">
        <v>46</v>
      </c>
      <c r="H18" s="13" t="s">
        <v>47</v>
      </c>
      <c r="I18" s="15" t="s">
        <v>5</v>
      </c>
      <c r="J18" s="13"/>
    </row>
    <row r="19" customFormat="false" ht="23.85" hidden="false" customHeight="false" outlineLevel="0" collapsed="false">
      <c r="A19" s="13" t="s">
        <v>427</v>
      </c>
      <c r="B19" s="13" t="s">
        <v>428</v>
      </c>
      <c r="C19" s="13" t="s">
        <v>403</v>
      </c>
      <c r="D19" s="13" t="s">
        <v>404</v>
      </c>
      <c r="E19" s="13" t="s">
        <v>421</v>
      </c>
      <c r="F19" s="14" t="s">
        <v>45</v>
      </c>
      <c r="G19" s="14" t="s">
        <v>46</v>
      </c>
      <c r="H19" s="13" t="s">
        <v>47</v>
      </c>
      <c r="I19" s="15" t="s">
        <v>5</v>
      </c>
      <c r="J19" s="13"/>
    </row>
    <row r="20" customFormat="false" ht="23.85" hidden="false" customHeight="false" outlineLevel="0" collapsed="false">
      <c r="A20" s="13" t="s">
        <v>429</v>
      </c>
      <c r="B20" s="13" t="s">
        <v>428</v>
      </c>
      <c r="C20" s="13" t="s">
        <v>116</v>
      </c>
      <c r="D20" s="13" t="s">
        <v>406</v>
      </c>
      <c r="E20" s="13" t="s">
        <v>407</v>
      </c>
      <c r="F20" s="16" t="s">
        <v>62</v>
      </c>
      <c r="G20" s="14" t="s">
        <v>46</v>
      </c>
      <c r="H20" s="13" t="s">
        <v>47</v>
      </c>
      <c r="I20" s="15" t="s">
        <v>5</v>
      </c>
      <c r="J20" s="13"/>
    </row>
    <row r="21" customFormat="false" ht="23.85" hidden="false" customHeight="false" outlineLevel="0" collapsed="false">
      <c r="A21" s="13" t="s">
        <v>430</v>
      </c>
      <c r="B21" s="13" t="s">
        <v>431</v>
      </c>
      <c r="C21" s="13" t="s">
        <v>410</v>
      </c>
      <c r="D21" s="13" t="s">
        <v>411</v>
      </c>
      <c r="E21" s="13" t="s">
        <v>421</v>
      </c>
      <c r="F21" s="14" t="s">
        <v>45</v>
      </c>
      <c r="G21" s="14" t="s">
        <v>46</v>
      </c>
      <c r="H21" s="13" t="s">
        <v>47</v>
      </c>
      <c r="I21" s="15" t="s">
        <v>5</v>
      </c>
      <c r="J21" s="13"/>
    </row>
    <row r="22" customFormat="false" ht="23.85" hidden="false" customHeight="false" outlineLevel="0" collapsed="false">
      <c r="A22" s="13" t="s">
        <v>432</v>
      </c>
      <c r="B22" s="13" t="s">
        <v>431</v>
      </c>
      <c r="C22" s="13" t="s">
        <v>116</v>
      </c>
      <c r="D22" s="13" t="s">
        <v>406</v>
      </c>
      <c r="E22" s="13" t="s">
        <v>407</v>
      </c>
      <c r="F22" s="16" t="s">
        <v>62</v>
      </c>
      <c r="G22" s="14" t="s">
        <v>46</v>
      </c>
      <c r="H22" s="13" t="s">
        <v>47</v>
      </c>
      <c r="I22" s="15" t="s">
        <v>5</v>
      </c>
      <c r="J22" s="13"/>
    </row>
    <row r="23" customFormat="false" ht="23.85" hidden="false" customHeight="false" outlineLevel="0" collapsed="false">
      <c r="A23" s="13" t="s">
        <v>433</v>
      </c>
      <c r="B23" s="13" t="s">
        <v>434</v>
      </c>
      <c r="C23" s="13" t="s">
        <v>435</v>
      </c>
      <c r="D23" s="13" t="s">
        <v>372</v>
      </c>
      <c r="E23" s="13" t="s">
        <v>436</v>
      </c>
      <c r="F23" s="14" t="s">
        <v>45</v>
      </c>
      <c r="G23" s="14" t="s">
        <v>46</v>
      </c>
      <c r="H23" s="13" t="s">
        <v>47</v>
      </c>
      <c r="I23" s="15" t="s">
        <v>5</v>
      </c>
      <c r="J23" s="13"/>
    </row>
    <row r="24" customFormat="false" ht="23.85" hidden="false" customHeight="false" outlineLevel="0" collapsed="false">
      <c r="A24" s="13" t="s">
        <v>437</v>
      </c>
      <c r="B24" s="13" t="s">
        <v>438</v>
      </c>
      <c r="C24" s="13" t="s">
        <v>380</v>
      </c>
      <c r="D24" s="13" t="s">
        <v>439</v>
      </c>
      <c r="E24" s="13" t="s">
        <v>440</v>
      </c>
      <c r="F24" s="14" t="s">
        <v>45</v>
      </c>
      <c r="G24" s="14" t="s">
        <v>46</v>
      </c>
      <c r="H24" s="13" t="s">
        <v>47</v>
      </c>
      <c r="I24" s="15" t="s">
        <v>5</v>
      </c>
      <c r="J24" s="13"/>
    </row>
    <row r="25" customFormat="false" ht="23.85" hidden="false" customHeight="false" outlineLevel="0" collapsed="false">
      <c r="A25" s="13" t="s">
        <v>441</v>
      </c>
      <c r="B25" s="13" t="s">
        <v>438</v>
      </c>
      <c r="C25" s="13" t="s">
        <v>442</v>
      </c>
      <c r="D25" s="13" t="s">
        <v>443</v>
      </c>
      <c r="E25" s="13" t="s">
        <v>444</v>
      </c>
      <c r="F25" s="14" t="s">
        <v>45</v>
      </c>
      <c r="G25" s="14" t="s">
        <v>52</v>
      </c>
      <c r="H25" s="13" t="s">
        <v>47</v>
      </c>
      <c r="I25" s="15" t="s">
        <v>5</v>
      </c>
      <c r="J25" s="13"/>
    </row>
    <row r="26" customFormat="false" ht="23.85" hidden="false" customHeight="false" outlineLevel="0" collapsed="false">
      <c r="A26" s="13" t="s">
        <v>445</v>
      </c>
      <c r="B26" s="13" t="s">
        <v>446</v>
      </c>
      <c r="C26" s="13" t="s">
        <v>82</v>
      </c>
      <c r="D26" s="13" t="s">
        <v>395</v>
      </c>
      <c r="E26" s="13" t="s">
        <v>447</v>
      </c>
      <c r="F26" s="14" t="s">
        <v>45</v>
      </c>
      <c r="G26" s="14" t="s">
        <v>46</v>
      </c>
      <c r="H26" s="13" t="s">
        <v>47</v>
      </c>
      <c r="I26" s="15" t="s">
        <v>5</v>
      </c>
      <c r="J26" s="13"/>
    </row>
    <row r="27" customFormat="false" ht="23.85" hidden="false" customHeight="false" outlineLevel="0" collapsed="false">
      <c r="A27" s="13" t="s">
        <v>448</v>
      </c>
      <c r="B27" s="13" t="s">
        <v>446</v>
      </c>
      <c r="C27" s="13" t="s">
        <v>398</v>
      </c>
      <c r="D27" s="13" t="s">
        <v>399</v>
      </c>
      <c r="E27" s="13" t="s">
        <v>400</v>
      </c>
      <c r="F27" s="16" t="s">
        <v>62</v>
      </c>
      <c r="G27" s="14" t="s">
        <v>46</v>
      </c>
      <c r="H27" s="13" t="s">
        <v>391</v>
      </c>
      <c r="I27" s="17" t="s">
        <v>6</v>
      </c>
      <c r="J27" s="13" t="s">
        <v>449</v>
      </c>
    </row>
    <row r="28" customFormat="false" ht="23.85" hidden="false" customHeight="false" outlineLevel="0" collapsed="false">
      <c r="A28" s="13" t="s">
        <v>450</v>
      </c>
      <c r="B28" s="13" t="s">
        <v>451</v>
      </c>
      <c r="C28" s="13" t="s">
        <v>403</v>
      </c>
      <c r="D28" s="13" t="s">
        <v>404</v>
      </c>
      <c r="E28" s="13" t="s">
        <v>452</v>
      </c>
      <c r="F28" s="14" t="s">
        <v>45</v>
      </c>
      <c r="G28" s="14" t="s">
        <v>46</v>
      </c>
      <c r="H28" s="13" t="s">
        <v>47</v>
      </c>
      <c r="I28" s="15" t="s">
        <v>5</v>
      </c>
      <c r="J28" s="13"/>
    </row>
    <row r="29" customFormat="false" ht="23.85" hidden="false" customHeight="false" outlineLevel="0" collapsed="false">
      <c r="A29" s="13" t="s">
        <v>453</v>
      </c>
      <c r="B29" s="13" t="s">
        <v>451</v>
      </c>
      <c r="C29" s="13" t="s">
        <v>116</v>
      </c>
      <c r="D29" s="13" t="s">
        <v>406</v>
      </c>
      <c r="E29" s="13" t="s">
        <v>407</v>
      </c>
      <c r="F29" s="16" t="s">
        <v>62</v>
      </c>
      <c r="G29" s="14" t="s">
        <v>46</v>
      </c>
      <c r="H29" s="13" t="s">
        <v>454</v>
      </c>
      <c r="I29" s="17" t="s">
        <v>6</v>
      </c>
      <c r="J29" s="13" t="s">
        <v>449</v>
      </c>
    </row>
    <row r="30" customFormat="false" ht="23.85" hidden="false" customHeight="false" outlineLevel="0" collapsed="false">
      <c r="A30" s="13" t="s">
        <v>455</v>
      </c>
      <c r="B30" s="13" t="s">
        <v>456</v>
      </c>
      <c r="C30" s="13" t="s">
        <v>410</v>
      </c>
      <c r="D30" s="13" t="s">
        <v>411</v>
      </c>
      <c r="E30" s="13" t="s">
        <v>452</v>
      </c>
      <c r="F30" s="14" t="s">
        <v>45</v>
      </c>
      <c r="G30" s="14" t="s">
        <v>46</v>
      </c>
      <c r="H30" s="13" t="s">
        <v>47</v>
      </c>
      <c r="I30" s="15" t="s">
        <v>5</v>
      </c>
      <c r="J30" s="13"/>
    </row>
    <row r="31" customFormat="false" ht="23.85" hidden="false" customHeight="false" outlineLevel="0" collapsed="false">
      <c r="A31" s="13" t="s">
        <v>457</v>
      </c>
      <c r="B31" s="13" t="s">
        <v>456</v>
      </c>
      <c r="C31" s="13" t="s">
        <v>116</v>
      </c>
      <c r="D31" s="13" t="s">
        <v>406</v>
      </c>
      <c r="E31" s="13" t="s">
        <v>407</v>
      </c>
      <c r="F31" s="16" t="s">
        <v>62</v>
      </c>
      <c r="G31" s="14" t="s">
        <v>46</v>
      </c>
      <c r="H31" s="13" t="s">
        <v>454</v>
      </c>
      <c r="I31" s="17" t="s">
        <v>6</v>
      </c>
      <c r="J31" s="13" t="s">
        <v>449</v>
      </c>
    </row>
    <row r="32" customFormat="false" ht="23.85" hidden="false" customHeight="false" outlineLevel="0" collapsed="false">
      <c r="A32" s="13" t="s">
        <v>458</v>
      </c>
      <c r="B32" s="13" t="s">
        <v>459</v>
      </c>
      <c r="C32" s="13" t="s">
        <v>460</v>
      </c>
      <c r="D32" s="13" t="s">
        <v>372</v>
      </c>
      <c r="E32" s="13" t="s">
        <v>461</v>
      </c>
      <c r="F32" s="14" t="s">
        <v>45</v>
      </c>
      <c r="G32" s="14" t="s">
        <v>46</v>
      </c>
      <c r="H32" s="13" t="s">
        <v>47</v>
      </c>
      <c r="I32" s="15" t="s">
        <v>5</v>
      </c>
      <c r="J32" s="13"/>
    </row>
    <row r="33" customFormat="false" ht="23.85" hidden="false" customHeight="false" outlineLevel="0" collapsed="false">
      <c r="A33" s="13" t="s">
        <v>462</v>
      </c>
      <c r="B33" s="13" t="s">
        <v>463</v>
      </c>
      <c r="C33" s="13" t="s">
        <v>380</v>
      </c>
      <c r="D33" s="13" t="s">
        <v>439</v>
      </c>
      <c r="E33" s="13" t="s">
        <v>464</v>
      </c>
      <c r="F33" s="14" t="s">
        <v>45</v>
      </c>
      <c r="G33" s="14" t="s">
        <v>46</v>
      </c>
      <c r="H33" s="13" t="s">
        <v>47</v>
      </c>
      <c r="I33" s="15" t="s">
        <v>5</v>
      </c>
      <c r="J33" s="13"/>
    </row>
    <row r="34" customFormat="false" ht="23.85" hidden="false" customHeight="false" outlineLevel="0" collapsed="false">
      <c r="A34" s="13" t="s">
        <v>465</v>
      </c>
      <c r="B34" s="13" t="s">
        <v>463</v>
      </c>
      <c r="C34" s="13" t="s">
        <v>466</v>
      </c>
      <c r="D34" s="13" t="s">
        <v>467</v>
      </c>
      <c r="E34" s="13" t="s">
        <v>468</v>
      </c>
      <c r="F34" s="14" t="s">
        <v>45</v>
      </c>
      <c r="G34" s="14" t="s">
        <v>52</v>
      </c>
      <c r="H34" s="13" t="s">
        <v>47</v>
      </c>
      <c r="I34" s="15" t="s">
        <v>5</v>
      </c>
      <c r="J34" s="13"/>
    </row>
    <row r="35" customFormat="false" ht="23.85" hidden="false" customHeight="false" outlineLevel="0" collapsed="false">
      <c r="A35" s="13" t="s">
        <v>469</v>
      </c>
      <c r="B35" s="13" t="s">
        <v>463</v>
      </c>
      <c r="C35" s="13" t="s">
        <v>388</v>
      </c>
      <c r="D35" s="13" t="s">
        <v>443</v>
      </c>
      <c r="E35" s="13" t="s">
        <v>470</v>
      </c>
      <c r="F35" s="16" t="s">
        <v>62</v>
      </c>
      <c r="G35" s="14" t="s">
        <v>139</v>
      </c>
      <c r="H35" s="13" t="s">
        <v>391</v>
      </c>
      <c r="I35" s="17" t="s">
        <v>6</v>
      </c>
      <c r="J35" s="13" t="s">
        <v>392</v>
      </c>
    </row>
    <row r="36" customFormat="false" ht="23.85" hidden="false" customHeight="false" outlineLevel="0" collapsed="false">
      <c r="A36" s="13" t="s">
        <v>471</v>
      </c>
      <c r="B36" s="13" t="s">
        <v>472</v>
      </c>
      <c r="C36" s="13" t="s">
        <v>82</v>
      </c>
      <c r="D36" s="13" t="s">
        <v>395</v>
      </c>
      <c r="E36" s="13" t="s">
        <v>473</v>
      </c>
      <c r="F36" s="14" t="s">
        <v>45</v>
      </c>
      <c r="G36" s="14" t="s">
        <v>46</v>
      </c>
      <c r="H36" s="13" t="s">
        <v>47</v>
      </c>
      <c r="I36" s="15" t="s">
        <v>5</v>
      </c>
      <c r="J36" s="13"/>
    </row>
    <row r="37" customFormat="false" ht="15" hidden="false" customHeight="false" outlineLevel="0" collapsed="false">
      <c r="A37" s="13" t="s">
        <v>474</v>
      </c>
      <c r="B37" s="13" t="s">
        <v>472</v>
      </c>
      <c r="C37" s="13" t="s">
        <v>398</v>
      </c>
      <c r="D37" s="13" t="s">
        <v>399</v>
      </c>
      <c r="E37" s="13" t="s">
        <v>400</v>
      </c>
      <c r="F37" s="16" t="s">
        <v>62</v>
      </c>
      <c r="G37" s="14" t="s">
        <v>46</v>
      </c>
      <c r="H37" s="13"/>
      <c r="I37" s="14" t="s">
        <v>8</v>
      </c>
      <c r="J37" s="13" t="s">
        <v>475</v>
      </c>
    </row>
    <row r="38" customFormat="false" ht="23.85" hidden="false" customHeight="false" outlineLevel="0" collapsed="false">
      <c r="A38" s="13" t="s">
        <v>476</v>
      </c>
      <c r="B38" s="13" t="s">
        <v>477</v>
      </c>
      <c r="C38" s="13" t="s">
        <v>403</v>
      </c>
      <c r="D38" s="13" t="s">
        <v>404</v>
      </c>
      <c r="E38" s="13" t="s">
        <v>478</v>
      </c>
      <c r="F38" s="14" t="s">
        <v>45</v>
      </c>
      <c r="G38" s="14" t="s">
        <v>46</v>
      </c>
      <c r="H38" s="13" t="s">
        <v>47</v>
      </c>
      <c r="I38" s="15" t="s">
        <v>5</v>
      </c>
      <c r="J38" s="13"/>
    </row>
    <row r="39" customFormat="false" ht="23.85" hidden="false" customHeight="false" outlineLevel="0" collapsed="false">
      <c r="A39" s="13" t="s">
        <v>479</v>
      </c>
      <c r="B39" s="13" t="s">
        <v>477</v>
      </c>
      <c r="C39" s="13" t="s">
        <v>116</v>
      </c>
      <c r="D39" s="13" t="s">
        <v>406</v>
      </c>
      <c r="E39" s="13" t="s">
        <v>480</v>
      </c>
      <c r="F39" s="16" t="s">
        <v>62</v>
      </c>
      <c r="G39" s="14" t="s">
        <v>46</v>
      </c>
      <c r="H39" s="13" t="s">
        <v>47</v>
      </c>
      <c r="I39" s="15" t="s">
        <v>5</v>
      </c>
      <c r="J39" s="13"/>
    </row>
    <row r="40" customFormat="false" ht="23.85" hidden="false" customHeight="false" outlineLevel="0" collapsed="false">
      <c r="A40" s="13" t="s">
        <v>481</v>
      </c>
      <c r="B40" s="13" t="s">
        <v>482</v>
      </c>
      <c r="C40" s="13" t="s">
        <v>410</v>
      </c>
      <c r="D40" s="13" t="s">
        <v>411</v>
      </c>
      <c r="E40" s="13" t="s">
        <v>483</v>
      </c>
      <c r="F40" s="14" t="s">
        <v>45</v>
      </c>
      <c r="G40" s="14" t="s">
        <v>46</v>
      </c>
      <c r="H40" s="13" t="s">
        <v>47</v>
      </c>
      <c r="I40" s="15" t="s">
        <v>5</v>
      </c>
      <c r="J40" s="13"/>
    </row>
  </sheetData>
  <autoFilter ref="A1:J40"/>
  <dataValidations count="1">
    <dataValidation allowBlank="false" errorStyle="stop" operator="between" showDropDown="false" showErrorMessage="false" showInputMessage="false" sqref="I2:I40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484</v>
      </c>
      <c r="B2" s="13" t="s">
        <v>485</v>
      </c>
      <c r="C2" s="13" t="s">
        <v>486</v>
      </c>
      <c r="D2" s="13" t="s">
        <v>487</v>
      </c>
      <c r="E2" s="13" t="s">
        <v>488</v>
      </c>
      <c r="F2" s="16" t="s">
        <v>62</v>
      </c>
      <c r="G2" s="14" t="s">
        <v>46</v>
      </c>
      <c r="H2" s="13" t="s">
        <v>47</v>
      </c>
      <c r="I2" s="15" t="s">
        <v>5</v>
      </c>
      <c r="J2" s="13"/>
    </row>
    <row r="3" customFormat="false" ht="23.85" hidden="false" customHeight="false" outlineLevel="0" collapsed="false">
      <c r="A3" s="13" t="s">
        <v>489</v>
      </c>
      <c r="B3" s="13" t="s">
        <v>485</v>
      </c>
      <c r="C3" s="13" t="s">
        <v>490</v>
      </c>
      <c r="D3" s="13" t="s">
        <v>491</v>
      </c>
      <c r="E3" s="13" t="s">
        <v>492</v>
      </c>
      <c r="F3" s="16" t="s">
        <v>62</v>
      </c>
      <c r="G3" s="14" t="s">
        <v>46</v>
      </c>
      <c r="H3" s="13" t="s">
        <v>47</v>
      </c>
      <c r="I3" s="15" t="s">
        <v>5</v>
      </c>
      <c r="J3" s="13"/>
    </row>
    <row r="4" customFormat="false" ht="23.85" hidden="false" customHeight="false" outlineLevel="0" collapsed="false">
      <c r="A4" s="13" t="s">
        <v>493</v>
      </c>
      <c r="B4" s="13" t="s">
        <v>485</v>
      </c>
      <c r="C4" s="13" t="s">
        <v>494</v>
      </c>
      <c r="D4" s="13" t="s">
        <v>495</v>
      </c>
      <c r="E4" s="13" t="s">
        <v>496</v>
      </c>
      <c r="F4" s="16" t="s">
        <v>62</v>
      </c>
      <c r="G4" s="14" t="s">
        <v>46</v>
      </c>
      <c r="H4" s="13" t="s">
        <v>47</v>
      </c>
      <c r="I4" s="15" t="s">
        <v>5</v>
      </c>
      <c r="J4" s="13"/>
    </row>
    <row r="5" customFormat="false" ht="23.85" hidden="false" customHeight="false" outlineLevel="0" collapsed="false">
      <c r="A5" s="13" t="s">
        <v>497</v>
      </c>
      <c r="B5" s="13" t="s">
        <v>498</v>
      </c>
      <c r="C5" s="13" t="s">
        <v>499</v>
      </c>
      <c r="D5" s="13" t="s">
        <v>500</v>
      </c>
      <c r="E5" s="13" t="s">
        <v>501</v>
      </c>
      <c r="F5" s="14" t="s">
        <v>45</v>
      </c>
      <c r="G5" s="14" t="s">
        <v>139</v>
      </c>
      <c r="H5" s="13" t="s">
        <v>47</v>
      </c>
      <c r="I5" s="15" t="s">
        <v>5</v>
      </c>
      <c r="J5" s="13"/>
    </row>
    <row r="6" customFormat="false" ht="23.85" hidden="false" customHeight="false" outlineLevel="0" collapsed="false">
      <c r="A6" s="13" t="s">
        <v>502</v>
      </c>
      <c r="B6" s="13" t="s">
        <v>503</v>
      </c>
      <c r="C6" s="13" t="s">
        <v>504</v>
      </c>
      <c r="D6" s="13" t="s">
        <v>505</v>
      </c>
      <c r="E6" s="13" t="s">
        <v>506</v>
      </c>
      <c r="F6" s="14" t="s">
        <v>45</v>
      </c>
      <c r="G6" s="14" t="s">
        <v>46</v>
      </c>
      <c r="H6" s="13" t="s">
        <v>507</v>
      </c>
      <c r="I6" s="18" t="s">
        <v>7</v>
      </c>
      <c r="J6" s="13" t="s">
        <v>508</v>
      </c>
    </row>
    <row r="7" customFormat="false" ht="23.85" hidden="false" customHeight="false" outlineLevel="0" collapsed="false">
      <c r="A7" s="13" t="s">
        <v>509</v>
      </c>
      <c r="B7" s="13" t="s">
        <v>510</v>
      </c>
      <c r="C7" s="13" t="s">
        <v>511</v>
      </c>
      <c r="D7" s="13" t="s">
        <v>512</v>
      </c>
      <c r="E7" s="13" t="s">
        <v>513</v>
      </c>
      <c r="F7" s="14" t="s">
        <v>45</v>
      </c>
      <c r="G7" s="14" t="s">
        <v>46</v>
      </c>
      <c r="H7" s="13" t="s">
        <v>47</v>
      </c>
      <c r="I7" s="15" t="s">
        <v>5</v>
      </c>
      <c r="J7" s="13"/>
    </row>
    <row r="8" customFormat="false" ht="23.85" hidden="false" customHeight="false" outlineLevel="0" collapsed="false">
      <c r="A8" s="13" t="s">
        <v>514</v>
      </c>
      <c r="B8" s="13" t="s">
        <v>510</v>
      </c>
      <c r="C8" s="13" t="s">
        <v>515</v>
      </c>
      <c r="D8" s="13" t="s">
        <v>516</v>
      </c>
      <c r="E8" s="13" t="s">
        <v>516</v>
      </c>
      <c r="F8" s="14" t="s">
        <v>45</v>
      </c>
      <c r="G8" s="14" t="s">
        <v>46</v>
      </c>
      <c r="H8" s="13" t="s">
        <v>47</v>
      </c>
      <c r="I8" s="15" t="s">
        <v>5</v>
      </c>
      <c r="J8" s="13"/>
    </row>
    <row r="9" customFormat="false" ht="23.85" hidden="false" customHeight="false" outlineLevel="0" collapsed="false">
      <c r="A9" s="13" t="s">
        <v>517</v>
      </c>
      <c r="B9" s="13" t="s">
        <v>510</v>
      </c>
      <c r="C9" s="13" t="s">
        <v>518</v>
      </c>
      <c r="D9" s="13" t="s">
        <v>516</v>
      </c>
      <c r="E9" s="13" t="s">
        <v>516</v>
      </c>
      <c r="F9" s="14" t="s">
        <v>45</v>
      </c>
      <c r="G9" s="14" t="s">
        <v>46</v>
      </c>
      <c r="H9" s="13" t="s">
        <v>47</v>
      </c>
      <c r="I9" s="15" t="s">
        <v>5</v>
      </c>
      <c r="J9" s="13"/>
    </row>
    <row r="10" customFormat="false" ht="23.85" hidden="false" customHeight="false" outlineLevel="0" collapsed="false">
      <c r="A10" s="13" t="s">
        <v>519</v>
      </c>
      <c r="B10" s="13" t="s">
        <v>510</v>
      </c>
      <c r="C10" s="13" t="s">
        <v>520</v>
      </c>
      <c r="D10" s="13" t="s">
        <v>516</v>
      </c>
      <c r="E10" s="13" t="s">
        <v>516</v>
      </c>
      <c r="F10" s="14" t="s">
        <v>45</v>
      </c>
      <c r="G10" s="14" t="s">
        <v>46</v>
      </c>
      <c r="H10" s="13" t="s">
        <v>47</v>
      </c>
      <c r="I10" s="15" t="s">
        <v>5</v>
      </c>
      <c r="J10" s="13"/>
    </row>
    <row r="11" customFormat="false" ht="23.85" hidden="false" customHeight="false" outlineLevel="0" collapsed="false">
      <c r="A11" s="13" t="s">
        <v>521</v>
      </c>
      <c r="B11" s="13" t="s">
        <v>522</v>
      </c>
      <c r="C11" s="13" t="s">
        <v>523</v>
      </c>
      <c r="D11" s="13" t="s">
        <v>524</v>
      </c>
      <c r="E11" s="13" t="s">
        <v>525</v>
      </c>
      <c r="F11" s="14" t="s">
        <v>45</v>
      </c>
      <c r="G11" s="14" t="s">
        <v>52</v>
      </c>
      <c r="H11" s="13"/>
      <c r="I11" s="14" t="s">
        <v>8</v>
      </c>
      <c r="J11" s="13"/>
    </row>
    <row r="12" customFormat="false" ht="23.85" hidden="false" customHeight="false" outlineLevel="0" collapsed="false">
      <c r="A12" s="13" t="s">
        <v>526</v>
      </c>
      <c r="B12" s="13" t="s">
        <v>522</v>
      </c>
      <c r="C12" s="13" t="s">
        <v>527</v>
      </c>
      <c r="D12" s="13" t="s">
        <v>528</v>
      </c>
      <c r="E12" s="13" t="s">
        <v>529</v>
      </c>
      <c r="F12" s="14" t="s">
        <v>45</v>
      </c>
      <c r="G12" s="14" t="s">
        <v>46</v>
      </c>
      <c r="H12" s="13"/>
      <c r="I12" s="14" t="s">
        <v>8</v>
      </c>
      <c r="J12" s="13"/>
    </row>
    <row r="13" customFormat="false" ht="15" hidden="false" customHeight="false" outlineLevel="0" collapsed="false">
      <c r="A13" s="13" t="s">
        <v>530</v>
      </c>
      <c r="B13" s="13" t="s">
        <v>522</v>
      </c>
      <c r="C13" s="13" t="s">
        <v>531</v>
      </c>
      <c r="D13" s="13" t="s">
        <v>532</v>
      </c>
      <c r="E13" s="13" t="s">
        <v>533</v>
      </c>
      <c r="F13" s="16" t="s">
        <v>62</v>
      </c>
      <c r="G13" s="14" t="s">
        <v>52</v>
      </c>
      <c r="H13" s="13"/>
      <c r="I13" s="14" t="s">
        <v>8</v>
      </c>
      <c r="J13" s="13"/>
    </row>
    <row r="14" customFormat="false" ht="15" hidden="false" customHeight="false" outlineLevel="0" collapsed="false">
      <c r="A14" s="13" t="s">
        <v>534</v>
      </c>
      <c r="B14" s="13" t="s">
        <v>535</v>
      </c>
      <c r="C14" s="13" t="s">
        <v>536</v>
      </c>
      <c r="D14" s="13" t="s">
        <v>537</v>
      </c>
      <c r="E14" s="13" t="s">
        <v>538</v>
      </c>
      <c r="F14" s="14" t="s">
        <v>45</v>
      </c>
      <c r="G14" s="14" t="s">
        <v>52</v>
      </c>
      <c r="H14" s="13"/>
      <c r="I14" s="14" t="s">
        <v>8</v>
      </c>
      <c r="J14" s="13"/>
    </row>
  </sheetData>
  <autoFilter ref="A1:J14"/>
  <dataValidations count="1">
    <dataValidation allowBlank="false" errorStyle="stop" operator="between" showDropDown="false" showErrorMessage="false" showInputMessage="false" sqref="I2:I14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539</v>
      </c>
      <c r="B2" s="13" t="s">
        <v>540</v>
      </c>
      <c r="C2" s="13" t="s">
        <v>541</v>
      </c>
      <c r="D2" s="13" t="s">
        <v>542</v>
      </c>
      <c r="E2" s="13" t="s">
        <v>543</v>
      </c>
      <c r="F2" s="14" t="s">
        <v>45</v>
      </c>
      <c r="G2" s="14" t="s">
        <v>46</v>
      </c>
      <c r="H2" s="13"/>
      <c r="I2" s="14" t="s">
        <v>8</v>
      </c>
      <c r="J2" s="13"/>
    </row>
    <row r="3" customFormat="false" ht="15" hidden="false" customHeight="false" outlineLevel="0" collapsed="false">
      <c r="A3" s="13" t="s">
        <v>544</v>
      </c>
      <c r="B3" s="13" t="s">
        <v>540</v>
      </c>
      <c r="C3" s="13" t="s">
        <v>545</v>
      </c>
      <c r="D3" s="13" t="s">
        <v>546</v>
      </c>
      <c r="E3" s="13" t="s">
        <v>547</v>
      </c>
      <c r="F3" s="16" t="s">
        <v>62</v>
      </c>
      <c r="G3" s="14" t="s">
        <v>46</v>
      </c>
      <c r="H3" s="13"/>
      <c r="I3" s="14" t="s">
        <v>8</v>
      </c>
      <c r="J3" s="13"/>
    </row>
    <row r="4" customFormat="false" ht="15" hidden="false" customHeight="false" outlineLevel="0" collapsed="false">
      <c r="A4" s="13" t="s">
        <v>548</v>
      </c>
      <c r="B4" s="13" t="s">
        <v>540</v>
      </c>
      <c r="C4" s="13" t="s">
        <v>549</v>
      </c>
      <c r="D4" s="13" t="s">
        <v>550</v>
      </c>
      <c r="E4" s="13" t="s">
        <v>551</v>
      </c>
      <c r="F4" s="16" t="s">
        <v>62</v>
      </c>
      <c r="G4" s="14" t="s">
        <v>46</v>
      </c>
      <c r="H4" s="13"/>
      <c r="I4" s="14" t="s">
        <v>8</v>
      </c>
      <c r="J4" s="13"/>
    </row>
    <row r="5" customFormat="false" ht="15" hidden="false" customHeight="false" outlineLevel="0" collapsed="false">
      <c r="A5" s="13" t="s">
        <v>552</v>
      </c>
      <c r="B5" s="13" t="s">
        <v>540</v>
      </c>
      <c r="C5" s="13" t="s">
        <v>553</v>
      </c>
      <c r="D5" s="13" t="s">
        <v>554</v>
      </c>
      <c r="E5" s="13" t="s">
        <v>551</v>
      </c>
      <c r="F5" s="16" t="s">
        <v>62</v>
      </c>
      <c r="G5" s="14" t="s">
        <v>46</v>
      </c>
      <c r="H5" s="13"/>
      <c r="I5" s="14" t="s">
        <v>8</v>
      </c>
      <c r="J5" s="13"/>
    </row>
    <row r="6" customFormat="false" ht="15" hidden="false" customHeight="false" outlineLevel="0" collapsed="false">
      <c r="A6" s="13" t="s">
        <v>555</v>
      </c>
      <c r="B6" s="13" t="s">
        <v>540</v>
      </c>
      <c r="C6" s="13" t="s">
        <v>318</v>
      </c>
      <c r="D6" s="13" t="s">
        <v>319</v>
      </c>
      <c r="E6" s="13" t="s">
        <v>541</v>
      </c>
      <c r="F6" s="14" t="s">
        <v>45</v>
      </c>
      <c r="G6" s="14" t="s">
        <v>52</v>
      </c>
      <c r="H6" s="13"/>
      <c r="I6" s="14" t="s">
        <v>8</v>
      </c>
      <c r="J6" s="13"/>
    </row>
    <row r="7" customFormat="false" ht="15" hidden="false" customHeight="false" outlineLevel="0" collapsed="false">
      <c r="A7" s="13" t="s">
        <v>556</v>
      </c>
      <c r="B7" s="13" t="s">
        <v>540</v>
      </c>
      <c r="C7" s="13" t="s">
        <v>557</v>
      </c>
      <c r="D7" s="13" t="s">
        <v>558</v>
      </c>
      <c r="E7" s="13" t="s">
        <v>551</v>
      </c>
      <c r="F7" s="16" t="s">
        <v>62</v>
      </c>
      <c r="G7" s="14" t="s">
        <v>46</v>
      </c>
      <c r="H7" s="13"/>
      <c r="I7" s="14" t="s">
        <v>8</v>
      </c>
      <c r="J7" s="13"/>
    </row>
    <row r="8" customFormat="false" ht="15" hidden="false" customHeight="false" outlineLevel="0" collapsed="false">
      <c r="A8" s="13" t="s">
        <v>559</v>
      </c>
      <c r="B8" s="13" t="s">
        <v>540</v>
      </c>
      <c r="C8" s="13" t="s">
        <v>560</v>
      </c>
      <c r="D8" s="13" t="s">
        <v>561</v>
      </c>
      <c r="E8" s="13" t="s">
        <v>551</v>
      </c>
      <c r="F8" s="16" t="s">
        <v>62</v>
      </c>
      <c r="G8" s="14" t="s">
        <v>46</v>
      </c>
      <c r="H8" s="13"/>
      <c r="I8" s="14" t="s">
        <v>8</v>
      </c>
      <c r="J8" s="13"/>
    </row>
    <row r="9" customFormat="false" ht="15" hidden="false" customHeight="false" outlineLevel="0" collapsed="false">
      <c r="A9" s="13" t="s">
        <v>562</v>
      </c>
      <c r="B9" s="13" t="s">
        <v>540</v>
      </c>
      <c r="C9" s="13" t="s">
        <v>563</v>
      </c>
      <c r="D9" s="13" t="s">
        <v>564</v>
      </c>
      <c r="E9" s="13" t="s">
        <v>565</v>
      </c>
      <c r="F9" s="16" t="s">
        <v>62</v>
      </c>
      <c r="G9" s="14" t="s">
        <v>46</v>
      </c>
      <c r="H9" s="13"/>
      <c r="I9" s="14" t="s">
        <v>8</v>
      </c>
      <c r="J9" s="13"/>
    </row>
    <row r="10" customFormat="false" ht="15" hidden="false" customHeight="false" outlineLevel="0" collapsed="false">
      <c r="A10" s="13" t="s">
        <v>566</v>
      </c>
      <c r="B10" s="13" t="s">
        <v>540</v>
      </c>
      <c r="C10" s="13" t="s">
        <v>567</v>
      </c>
      <c r="D10" s="13" t="s">
        <v>568</v>
      </c>
      <c r="E10" s="13" t="s">
        <v>569</v>
      </c>
      <c r="F10" s="14" t="s">
        <v>45</v>
      </c>
      <c r="G10" s="14" t="s">
        <v>46</v>
      </c>
      <c r="H10" s="13"/>
      <c r="I10" s="14" t="s">
        <v>8</v>
      </c>
      <c r="J10" s="13"/>
    </row>
    <row r="11" customFormat="false" ht="15" hidden="false" customHeight="false" outlineLevel="0" collapsed="false">
      <c r="A11" s="13" t="s">
        <v>570</v>
      </c>
      <c r="B11" s="13" t="s">
        <v>540</v>
      </c>
      <c r="C11" s="13" t="s">
        <v>571</v>
      </c>
      <c r="D11" s="13" t="s">
        <v>572</v>
      </c>
      <c r="E11" s="13" t="s">
        <v>573</v>
      </c>
      <c r="F11" s="16" t="s">
        <v>62</v>
      </c>
      <c r="G11" s="14" t="s">
        <v>52</v>
      </c>
      <c r="H11" s="13"/>
      <c r="I11" s="14" t="s">
        <v>8</v>
      </c>
      <c r="J11" s="13"/>
    </row>
    <row r="12" customFormat="false" ht="23.85" hidden="false" customHeight="false" outlineLevel="0" collapsed="false">
      <c r="A12" s="13" t="s">
        <v>574</v>
      </c>
      <c r="B12" s="13" t="s">
        <v>575</v>
      </c>
      <c r="C12" s="13" t="s">
        <v>576</v>
      </c>
      <c r="D12" s="13" t="s">
        <v>577</v>
      </c>
      <c r="E12" s="13" t="s">
        <v>578</v>
      </c>
      <c r="F12" s="14" t="s">
        <v>45</v>
      </c>
      <c r="G12" s="14" t="s">
        <v>46</v>
      </c>
      <c r="H12" s="13"/>
      <c r="I12" s="14" t="s">
        <v>8</v>
      </c>
      <c r="J12" s="13"/>
    </row>
    <row r="13" customFormat="false" ht="15" hidden="false" customHeight="false" outlineLevel="0" collapsed="false">
      <c r="A13" s="13" t="s">
        <v>579</v>
      </c>
      <c r="B13" s="13" t="s">
        <v>575</v>
      </c>
      <c r="C13" s="13" t="s">
        <v>580</v>
      </c>
      <c r="D13" s="13" t="s">
        <v>581</v>
      </c>
      <c r="E13" s="13" t="s">
        <v>582</v>
      </c>
      <c r="F13" s="16" t="s">
        <v>62</v>
      </c>
      <c r="G13" s="14" t="s">
        <v>46</v>
      </c>
      <c r="H13" s="13"/>
      <c r="I13" s="14" t="s">
        <v>8</v>
      </c>
      <c r="J13" s="13"/>
    </row>
    <row r="14" customFormat="false" ht="23.85" hidden="false" customHeight="false" outlineLevel="0" collapsed="false">
      <c r="A14" s="13" t="s">
        <v>583</v>
      </c>
      <c r="B14" s="13" t="s">
        <v>575</v>
      </c>
      <c r="C14" s="13" t="s">
        <v>584</v>
      </c>
      <c r="D14" s="13" t="s">
        <v>585</v>
      </c>
      <c r="E14" s="13" t="s">
        <v>586</v>
      </c>
      <c r="F14" s="16" t="s">
        <v>62</v>
      </c>
      <c r="G14" s="14" t="s">
        <v>46</v>
      </c>
      <c r="H14" s="13"/>
      <c r="I14" s="14" t="s">
        <v>8</v>
      </c>
      <c r="J14" s="13"/>
    </row>
    <row r="15" customFormat="false" ht="15" hidden="false" customHeight="false" outlineLevel="0" collapsed="false">
      <c r="A15" s="13" t="s">
        <v>587</v>
      </c>
      <c r="B15" s="13" t="s">
        <v>575</v>
      </c>
      <c r="C15" s="13" t="s">
        <v>588</v>
      </c>
      <c r="D15" s="13" t="s">
        <v>589</v>
      </c>
      <c r="E15" s="13" t="s">
        <v>590</v>
      </c>
      <c r="F15" s="14" t="s">
        <v>45</v>
      </c>
      <c r="G15" s="14" t="s">
        <v>139</v>
      </c>
      <c r="H15" s="13"/>
      <c r="I15" s="14" t="s">
        <v>8</v>
      </c>
      <c r="J15" s="13"/>
    </row>
    <row r="16" customFormat="false" ht="15" hidden="false" customHeight="false" outlineLevel="0" collapsed="false">
      <c r="A16" s="13" t="s">
        <v>591</v>
      </c>
      <c r="B16" s="13" t="s">
        <v>575</v>
      </c>
      <c r="C16" s="13" t="s">
        <v>592</v>
      </c>
      <c r="D16" s="13" t="s">
        <v>593</v>
      </c>
      <c r="E16" s="13" t="s">
        <v>594</v>
      </c>
      <c r="F16" s="16" t="s">
        <v>62</v>
      </c>
      <c r="G16" s="14" t="s">
        <v>52</v>
      </c>
      <c r="H16" s="13"/>
      <c r="I16" s="14" t="s">
        <v>8</v>
      </c>
      <c r="J16" s="13"/>
    </row>
    <row r="17" customFormat="false" ht="15" hidden="false" customHeight="false" outlineLevel="0" collapsed="false">
      <c r="A17" s="13" t="s">
        <v>595</v>
      </c>
      <c r="B17" s="13" t="s">
        <v>575</v>
      </c>
      <c r="C17" s="13" t="s">
        <v>596</v>
      </c>
      <c r="D17" s="13" t="s">
        <v>597</v>
      </c>
      <c r="E17" s="13" t="s">
        <v>594</v>
      </c>
      <c r="F17" s="16" t="s">
        <v>62</v>
      </c>
      <c r="G17" s="14" t="s">
        <v>46</v>
      </c>
      <c r="H17" s="13"/>
      <c r="I17" s="14" t="s">
        <v>8</v>
      </c>
      <c r="J17" s="13"/>
    </row>
    <row r="18" customFormat="false" ht="15" hidden="false" customHeight="false" outlineLevel="0" collapsed="false">
      <c r="A18" s="13" t="s">
        <v>598</v>
      </c>
      <c r="B18" s="13" t="s">
        <v>575</v>
      </c>
      <c r="C18" s="13" t="s">
        <v>599</v>
      </c>
      <c r="D18" s="13" t="s">
        <v>600</v>
      </c>
      <c r="E18" s="13" t="s">
        <v>601</v>
      </c>
      <c r="F18" s="16" t="s">
        <v>62</v>
      </c>
      <c r="G18" s="14" t="s">
        <v>52</v>
      </c>
      <c r="H18" s="13"/>
      <c r="I18" s="14" t="s">
        <v>8</v>
      </c>
      <c r="J18" s="13"/>
    </row>
    <row r="19" customFormat="false" ht="15" hidden="false" customHeight="false" outlineLevel="0" collapsed="false">
      <c r="A19" s="13" t="s">
        <v>602</v>
      </c>
      <c r="B19" s="13" t="s">
        <v>575</v>
      </c>
      <c r="C19" s="13" t="s">
        <v>603</v>
      </c>
      <c r="D19" s="13" t="s">
        <v>604</v>
      </c>
      <c r="E19" s="13" t="s">
        <v>605</v>
      </c>
      <c r="F19" s="16" t="s">
        <v>62</v>
      </c>
      <c r="G19" s="14" t="s">
        <v>46</v>
      </c>
      <c r="H19" s="13"/>
      <c r="I19" s="14" t="s">
        <v>8</v>
      </c>
      <c r="J19" s="13"/>
    </row>
    <row r="20" customFormat="false" ht="15" hidden="false" customHeight="false" outlineLevel="0" collapsed="false">
      <c r="A20" s="13" t="s">
        <v>606</v>
      </c>
      <c r="B20" s="13" t="s">
        <v>575</v>
      </c>
      <c r="C20" s="13" t="s">
        <v>607</v>
      </c>
      <c r="D20" s="13" t="s">
        <v>370</v>
      </c>
      <c r="E20" s="13" t="s">
        <v>608</v>
      </c>
      <c r="F20" s="14" t="s">
        <v>45</v>
      </c>
      <c r="G20" s="14" t="s">
        <v>139</v>
      </c>
      <c r="H20" s="13"/>
      <c r="I20" s="14" t="s">
        <v>8</v>
      </c>
      <c r="J20" s="13"/>
    </row>
    <row r="21" customFormat="false" ht="15" hidden="false" customHeight="false" outlineLevel="0" collapsed="false">
      <c r="A21" s="13" t="s">
        <v>609</v>
      </c>
      <c r="B21" s="13" t="s">
        <v>575</v>
      </c>
      <c r="C21" s="13" t="s">
        <v>610</v>
      </c>
      <c r="D21" s="13" t="s">
        <v>611</v>
      </c>
      <c r="E21" s="13" t="s">
        <v>612</v>
      </c>
      <c r="F21" s="16" t="s">
        <v>62</v>
      </c>
      <c r="G21" s="14" t="s">
        <v>52</v>
      </c>
      <c r="H21" s="13"/>
      <c r="I21" s="14" t="s">
        <v>8</v>
      </c>
      <c r="J21" s="13"/>
    </row>
    <row r="22" customFormat="false" ht="15" hidden="false" customHeight="false" outlineLevel="0" collapsed="false">
      <c r="A22" s="13" t="s">
        <v>613</v>
      </c>
      <c r="B22" s="13" t="s">
        <v>614</v>
      </c>
      <c r="C22" s="13" t="s">
        <v>614</v>
      </c>
      <c r="D22" s="13" t="s">
        <v>615</v>
      </c>
      <c r="E22" s="13" t="s">
        <v>616</v>
      </c>
      <c r="F22" s="14" t="s">
        <v>45</v>
      </c>
      <c r="G22" s="14" t="s">
        <v>46</v>
      </c>
      <c r="H22" s="13"/>
      <c r="I22" s="14" t="s">
        <v>8</v>
      </c>
      <c r="J22" s="13"/>
    </row>
    <row r="23" customFormat="false" ht="15" hidden="false" customHeight="false" outlineLevel="0" collapsed="false">
      <c r="A23" s="13" t="s">
        <v>617</v>
      </c>
      <c r="B23" s="13" t="s">
        <v>614</v>
      </c>
      <c r="C23" s="13" t="s">
        <v>618</v>
      </c>
      <c r="D23" s="13" t="s">
        <v>619</v>
      </c>
      <c r="E23" s="13" t="s">
        <v>620</v>
      </c>
      <c r="F23" s="16" t="s">
        <v>62</v>
      </c>
      <c r="G23" s="14" t="s">
        <v>52</v>
      </c>
      <c r="H23" s="13"/>
      <c r="I23" s="14" t="s">
        <v>8</v>
      </c>
      <c r="J23" s="13"/>
    </row>
    <row r="24" customFormat="false" ht="15" hidden="false" customHeight="false" outlineLevel="0" collapsed="false">
      <c r="A24" s="13" t="s">
        <v>621</v>
      </c>
      <c r="B24" s="13" t="s">
        <v>622</v>
      </c>
      <c r="C24" s="13" t="s">
        <v>623</v>
      </c>
      <c r="D24" s="13" t="s">
        <v>624</v>
      </c>
      <c r="E24" s="13" t="s">
        <v>612</v>
      </c>
      <c r="F24" s="16" t="s">
        <v>62</v>
      </c>
      <c r="G24" s="14" t="s">
        <v>46</v>
      </c>
      <c r="H24" s="13"/>
      <c r="I24" s="14" t="s">
        <v>8</v>
      </c>
      <c r="J24" s="13"/>
    </row>
    <row r="25" customFormat="false" ht="15" hidden="false" customHeight="false" outlineLevel="0" collapsed="false">
      <c r="A25" s="13" t="s">
        <v>625</v>
      </c>
      <c r="B25" s="13" t="s">
        <v>622</v>
      </c>
      <c r="C25" s="13" t="s">
        <v>626</v>
      </c>
      <c r="D25" s="13" t="s">
        <v>627</v>
      </c>
      <c r="E25" s="13" t="s">
        <v>628</v>
      </c>
      <c r="F25" s="14" t="s">
        <v>45</v>
      </c>
      <c r="G25" s="14" t="s">
        <v>46</v>
      </c>
      <c r="H25" s="13"/>
      <c r="I25" s="14" t="s">
        <v>8</v>
      </c>
      <c r="J25" s="13"/>
    </row>
    <row r="26" customFormat="false" ht="15" hidden="false" customHeight="false" outlineLevel="0" collapsed="false">
      <c r="A26" s="13" t="s">
        <v>629</v>
      </c>
      <c r="B26" s="13" t="s">
        <v>622</v>
      </c>
      <c r="C26" s="13" t="s">
        <v>630</v>
      </c>
      <c r="D26" s="13" t="s">
        <v>631</v>
      </c>
      <c r="E26" s="13" t="s">
        <v>632</v>
      </c>
      <c r="F26" s="14" t="s">
        <v>45</v>
      </c>
      <c r="G26" s="14" t="s">
        <v>139</v>
      </c>
      <c r="H26" s="13"/>
      <c r="I26" s="14" t="s">
        <v>8</v>
      </c>
      <c r="J26" s="13"/>
    </row>
    <row r="27" customFormat="false" ht="23.85" hidden="false" customHeight="false" outlineLevel="0" collapsed="false">
      <c r="A27" s="13" t="s">
        <v>633</v>
      </c>
      <c r="B27" s="13" t="s">
        <v>535</v>
      </c>
      <c r="C27" s="13" t="s">
        <v>634</v>
      </c>
      <c r="D27" s="13" t="s">
        <v>635</v>
      </c>
      <c r="E27" s="13" t="s">
        <v>636</v>
      </c>
      <c r="F27" s="16" t="s">
        <v>62</v>
      </c>
      <c r="G27" s="14" t="s">
        <v>46</v>
      </c>
      <c r="H27" s="13"/>
      <c r="I27" s="14" t="s">
        <v>8</v>
      </c>
      <c r="J27" s="13"/>
    </row>
  </sheetData>
  <autoFilter ref="A1:J27"/>
  <dataValidations count="1">
    <dataValidation allowBlank="false" errorStyle="stop" operator="between" showDropDown="false" showErrorMessage="false" showInputMessage="false" sqref="I2:I27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15" hidden="false" customHeight="false" outlineLevel="0" collapsed="false">
      <c r="A2" s="13" t="s">
        <v>637</v>
      </c>
      <c r="B2" s="13" t="s">
        <v>638</v>
      </c>
      <c r="C2" s="13" t="s">
        <v>639</v>
      </c>
      <c r="D2" s="13" t="s">
        <v>640</v>
      </c>
      <c r="E2" s="13" t="s">
        <v>641</v>
      </c>
      <c r="F2" s="14" t="s">
        <v>45</v>
      </c>
      <c r="G2" s="14" t="s">
        <v>46</v>
      </c>
      <c r="H2" s="13"/>
      <c r="I2" s="14" t="s">
        <v>8</v>
      </c>
      <c r="J2" s="13"/>
    </row>
    <row r="3" customFormat="false" ht="15" hidden="false" customHeight="false" outlineLevel="0" collapsed="false">
      <c r="A3" s="13" t="s">
        <v>642</v>
      </c>
      <c r="B3" s="13" t="s">
        <v>638</v>
      </c>
      <c r="C3" s="13" t="s">
        <v>643</v>
      </c>
      <c r="D3" s="13" t="s">
        <v>644</v>
      </c>
      <c r="E3" s="13" t="s">
        <v>645</v>
      </c>
      <c r="F3" s="14" t="s">
        <v>45</v>
      </c>
      <c r="G3" s="14" t="s">
        <v>46</v>
      </c>
      <c r="H3" s="13"/>
      <c r="I3" s="14" t="s">
        <v>8</v>
      </c>
      <c r="J3" s="13"/>
    </row>
    <row r="4" customFormat="false" ht="15" hidden="false" customHeight="false" outlineLevel="0" collapsed="false">
      <c r="A4" s="13" t="s">
        <v>646</v>
      </c>
      <c r="B4" s="13" t="s">
        <v>638</v>
      </c>
      <c r="C4" s="13" t="s">
        <v>647</v>
      </c>
      <c r="D4" s="13" t="s">
        <v>263</v>
      </c>
      <c r="E4" s="13" t="s">
        <v>648</v>
      </c>
      <c r="F4" s="14" t="s">
        <v>45</v>
      </c>
      <c r="G4" s="14" t="s">
        <v>46</v>
      </c>
      <c r="H4" s="13"/>
      <c r="I4" s="14" t="s">
        <v>8</v>
      </c>
      <c r="J4" s="13"/>
    </row>
    <row r="5" customFormat="false" ht="15" hidden="false" customHeight="false" outlineLevel="0" collapsed="false">
      <c r="A5" s="13" t="s">
        <v>649</v>
      </c>
      <c r="B5" s="13" t="s">
        <v>638</v>
      </c>
      <c r="C5" s="13" t="s">
        <v>266</v>
      </c>
      <c r="D5" s="13" t="s">
        <v>650</v>
      </c>
      <c r="E5" s="13" t="s">
        <v>651</v>
      </c>
      <c r="F5" s="14" t="s">
        <v>45</v>
      </c>
      <c r="G5" s="14" t="s">
        <v>52</v>
      </c>
      <c r="H5" s="13"/>
      <c r="I5" s="14" t="s">
        <v>8</v>
      </c>
      <c r="J5" s="13"/>
    </row>
    <row r="6" customFormat="false" ht="15" hidden="false" customHeight="false" outlineLevel="0" collapsed="false">
      <c r="A6" s="13" t="s">
        <v>652</v>
      </c>
      <c r="B6" s="13" t="s">
        <v>638</v>
      </c>
      <c r="C6" s="13" t="s">
        <v>653</v>
      </c>
      <c r="D6" s="13" t="s">
        <v>654</v>
      </c>
      <c r="E6" s="13" t="s">
        <v>655</v>
      </c>
      <c r="F6" s="14" t="s">
        <v>45</v>
      </c>
      <c r="G6" s="14" t="s">
        <v>52</v>
      </c>
      <c r="H6" s="13"/>
      <c r="I6" s="14" t="s">
        <v>8</v>
      </c>
      <c r="J6" s="13"/>
    </row>
    <row r="7" customFormat="false" ht="15" hidden="false" customHeight="false" outlineLevel="0" collapsed="false">
      <c r="A7" s="13" t="s">
        <v>656</v>
      </c>
      <c r="B7" s="13" t="s">
        <v>638</v>
      </c>
      <c r="C7" s="13" t="s">
        <v>277</v>
      </c>
      <c r="D7" s="13" t="s">
        <v>657</v>
      </c>
      <c r="E7" s="13" t="s">
        <v>658</v>
      </c>
      <c r="F7" s="14" t="s">
        <v>45</v>
      </c>
      <c r="G7" s="14" t="s">
        <v>52</v>
      </c>
      <c r="H7" s="13"/>
      <c r="I7" s="14" t="s">
        <v>8</v>
      </c>
      <c r="J7" s="13"/>
    </row>
    <row r="8" customFormat="false" ht="15" hidden="false" customHeight="false" outlineLevel="0" collapsed="false">
      <c r="A8" s="13" t="s">
        <v>659</v>
      </c>
      <c r="B8" s="13" t="s">
        <v>638</v>
      </c>
      <c r="C8" s="13" t="s">
        <v>660</v>
      </c>
      <c r="D8" s="13" t="s">
        <v>661</v>
      </c>
      <c r="E8" s="13" t="s">
        <v>662</v>
      </c>
      <c r="F8" s="16" t="s">
        <v>62</v>
      </c>
      <c r="G8" s="14" t="s">
        <v>46</v>
      </c>
      <c r="H8" s="13"/>
      <c r="I8" s="14" t="s">
        <v>8</v>
      </c>
      <c r="J8" s="13"/>
    </row>
    <row r="9" customFormat="false" ht="15" hidden="false" customHeight="false" outlineLevel="0" collapsed="false">
      <c r="A9" s="13" t="s">
        <v>663</v>
      </c>
      <c r="B9" s="13" t="s">
        <v>638</v>
      </c>
      <c r="C9" s="13" t="s">
        <v>664</v>
      </c>
      <c r="D9" s="13" t="s">
        <v>665</v>
      </c>
      <c r="E9" s="13" t="s">
        <v>666</v>
      </c>
      <c r="F9" s="14" t="s">
        <v>45</v>
      </c>
      <c r="G9" s="14" t="s">
        <v>52</v>
      </c>
      <c r="H9" s="13"/>
      <c r="I9" s="14" t="s">
        <v>8</v>
      </c>
      <c r="J9" s="13"/>
    </row>
    <row r="10" customFormat="false" ht="15" hidden="false" customHeight="false" outlineLevel="0" collapsed="false">
      <c r="A10" s="13" t="s">
        <v>667</v>
      </c>
      <c r="B10" s="13" t="s">
        <v>638</v>
      </c>
      <c r="C10" s="13" t="s">
        <v>668</v>
      </c>
      <c r="D10" s="13" t="s">
        <v>669</v>
      </c>
      <c r="E10" s="13" t="s">
        <v>670</v>
      </c>
      <c r="F10" s="16" t="s">
        <v>62</v>
      </c>
      <c r="G10" s="14" t="s">
        <v>139</v>
      </c>
      <c r="H10" s="13"/>
      <c r="I10" s="14" t="s">
        <v>8</v>
      </c>
      <c r="J10" s="13"/>
    </row>
    <row r="11" customFormat="false" ht="15" hidden="false" customHeight="false" outlineLevel="0" collapsed="false">
      <c r="A11" s="13" t="s">
        <v>671</v>
      </c>
      <c r="B11" s="13" t="s">
        <v>638</v>
      </c>
      <c r="C11" s="13" t="s">
        <v>672</v>
      </c>
      <c r="D11" s="13" t="s">
        <v>673</v>
      </c>
      <c r="E11" s="13" t="s">
        <v>674</v>
      </c>
      <c r="F11" s="14" t="s">
        <v>45</v>
      </c>
      <c r="G11" s="14" t="s">
        <v>139</v>
      </c>
      <c r="H11" s="13"/>
      <c r="I11" s="14" t="s">
        <v>8</v>
      </c>
      <c r="J11" s="13"/>
    </row>
    <row r="12" customFormat="false" ht="15" hidden="false" customHeight="false" outlineLevel="0" collapsed="false">
      <c r="A12" s="13" t="s">
        <v>675</v>
      </c>
      <c r="B12" s="13" t="s">
        <v>638</v>
      </c>
      <c r="C12" s="13" t="s">
        <v>676</v>
      </c>
      <c r="D12" s="13" t="s">
        <v>677</v>
      </c>
      <c r="E12" s="13" t="s">
        <v>678</v>
      </c>
      <c r="F12" s="16" t="s">
        <v>62</v>
      </c>
      <c r="G12" s="14" t="s">
        <v>52</v>
      </c>
      <c r="H12" s="13"/>
      <c r="I12" s="14" t="s">
        <v>8</v>
      </c>
      <c r="J12" s="13"/>
    </row>
    <row r="13" customFormat="false" ht="23.85" hidden="false" customHeight="false" outlineLevel="0" collapsed="false">
      <c r="A13" s="13" t="s">
        <v>679</v>
      </c>
      <c r="B13" s="13" t="s">
        <v>680</v>
      </c>
      <c r="C13" s="13" t="s">
        <v>681</v>
      </c>
      <c r="D13" s="13" t="s">
        <v>682</v>
      </c>
      <c r="E13" s="13" t="s">
        <v>683</v>
      </c>
      <c r="F13" s="14" t="s">
        <v>45</v>
      </c>
      <c r="G13" s="14" t="s">
        <v>46</v>
      </c>
      <c r="H13" s="13"/>
      <c r="I13" s="14" t="s">
        <v>8</v>
      </c>
      <c r="J13" s="13"/>
    </row>
    <row r="14" customFormat="false" ht="15" hidden="false" customHeight="false" outlineLevel="0" collapsed="false">
      <c r="A14" s="13" t="s">
        <v>684</v>
      </c>
      <c r="B14" s="13" t="s">
        <v>680</v>
      </c>
      <c r="C14" s="13" t="s">
        <v>685</v>
      </c>
      <c r="D14" s="13" t="s">
        <v>686</v>
      </c>
      <c r="E14" s="13" t="s">
        <v>687</v>
      </c>
      <c r="F14" s="16" t="s">
        <v>62</v>
      </c>
      <c r="G14" s="14" t="s">
        <v>52</v>
      </c>
      <c r="H14" s="13"/>
      <c r="I14" s="14" t="s">
        <v>8</v>
      </c>
      <c r="J14" s="13"/>
    </row>
    <row r="15" customFormat="false" ht="23.85" hidden="false" customHeight="false" outlineLevel="0" collapsed="false">
      <c r="A15" s="13" t="s">
        <v>688</v>
      </c>
      <c r="B15" s="13" t="s">
        <v>680</v>
      </c>
      <c r="C15" s="13" t="s">
        <v>689</v>
      </c>
      <c r="D15" s="13" t="s">
        <v>690</v>
      </c>
      <c r="E15" s="13" t="s">
        <v>691</v>
      </c>
      <c r="F15" s="16" t="s">
        <v>62</v>
      </c>
      <c r="G15" s="14" t="s">
        <v>52</v>
      </c>
      <c r="H15" s="13"/>
      <c r="I15" s="14" t="s">
        <v>8</v>
      </c>
      <c r="J15" s="13"/>
    </row>
    <row r="16" customFormat="false" ht="23.85" hidden="false" customHeight="false" outlineLevel="0" collapsed="false">
      <c r="A16" s="13" t="s">
        <v>692</v>
      </c>
      <c r="B16" s="13" t="s">
        <v>680</v>
      </c>
      <c r="C16" s="13" t="s">
        <v>693</v>
      </c>
      <c r="D16" s="13" t="s">
        <v>694</v>
      </c>
      <c r="E16" s="13" t="s">
        <v>695</v>
      </c>
      <c r="F16" s="16" t="s">
        <v>62</v>
      </c>
      <c r="G16" s="14" t="s">
        <v>46</v>
      </c>
      <c r="H16" s="13"/>
      <c r="I16" s="14" t="s">
        <v>8</v>
      </c>
      <c r="J16" s="13"/>
    </row>
    <row r="17" customFormat="false" ht="15" hidden="false" customHeight="false" outlineLevel="0" collapsed="false">
      <c r="A17" s="13" t="s">
        <v>696</v>
      </c>
      <c r="B17" s="13" t="s">
        <v>680</v>
      </c>
      <c r="C17" s="13" t="s">
        <v>697</v>
      </c>
      <c r="D17" s="13" t="s">
        <v>698</v>
      </c>
      <c r="E17" s="13" t="s">
        <v>699</v>
      </c>
      <c r="F17" s="16" t="s">
        <v>62</v>
      </c>
      <c r="G17" s="14" t="s">
        <v>139</v>
      </c>
      <c r="H17" s="13"/>
      <c r="I17" s="14" t="s">
        <v>8</v>
      </c>
      <c r="J17" s="13"/>
    </row>
    <row r="18" customFormat="false" ht="23.85" hidden="false" customHeight="false" outlineLevel="0" collapsed="false">
      <c r="A18" s="13" t="s">
        <v>700</v>
      </c>
      <c r="B18" s="13" t="s">
        <v>680</v>
      </c>
      <c r="C18" s="13" t="s">
        <v>701</v>
      </c>
      <c r="D18" s="13" t="s">
        <v>702</v>
      </c>
      <c r="E18" s="13" t="s">
        <v>703</v>
      </c>
      <c r="F18" s="14" t="s">
        <v>45</v>
      </c>
      <c r="G18" s="14" t="s">
        <v>46</v>
      </c>
      <c r="H18" s="13"/>
      <c r="I18" s="18" t="s">
        <v>7</v>
      </c>
      <c r="J18" s="13" t="s">
        <v>704</v>
      </c>
    </row>
    <row r="19" customFormat="false" ht="23.85" hidden="false" customHeight="false" outlineLevel="0" collapsed="false">
      <c r="A19" s="13" t="s">
        <v>705</v>
      </c>
      <c r="B19" s="13" t="s">
        <v>680</v>
      </c>
      <c r="C19" s="13" t="s">
        <v>706</v>
      </c>
      <c r="D19" s="13" t="s">
        <v>707</v>
      </c>
      <c r="E19" s="13" t="s">
        <v>708</v>
      </c>
      <c r="F19" s="14" t="s">
        <v>45</v>
      </c>
      <c r="G19" s="14" t="s">
        <v>52</v>
      </c>
      <c r="H19" s="13"/>
      <c r="I19" s="18" t="s">
        <v>7</v>
      </c>
      <c r="J19" s="13" t="s">
        <v>704</v>
      </c>
    </row>
    <row r="20" customFormat="false" ht="15" hidden="false" customHeight="false" outlineLevel="0" collapsed="false">
      <c r="A20" s="13" t="s">
        <v>709</v>
      </c>
      <c r="B20" s="13" t="s">
        <v>710</v>
      </c>
      <c r="C20" s="13" t="s">
        <v>711</v>
      </c>
      <c r="D20" s="13" t="s">
        <v>712</v>
      </c>
      <c r="E20" s="13" t="s">
        <v>713</v>
      </c>
      <c r="F20" s="14" t="s">
        <v>45</v>
      </c>
      <c r="G20" s="14" t="s">
        <v>46</v>
      </c>
      <c r="H20" s="13"/>
      <c r="I20" s="14" t="s">
        <v>8</v>
      </c>
      <c r="J20" s="13"/>
    </row>
    <row r="21" customFormat="false" ht="15" hidden="false" customHeight="false" outlineLevel="0" collapsed="false">
      <c r="A21" s="13" t="s">
        <v>714</v>
      </c>
      <c r="B21" s="13" t="s">
        <v>710</v>
      </c>
      <c r="C21" s="13" t="s">
        <v>715</v>
      </c>
      <c r="D21" s="13" t="s">
        <v>716</v>
      </c>
      <c r="E21" s="13" t="s">
        <v>717</v>
      </c>
      <c r="F21" s="16" t="s">
        <v>62</v>
      </c>
      <c r="G21" s="14" t="s">
        <v>46</v>
      </c>
      <c r="H21" s="13"/>
      <c r="I21" s="14" t="s">
        <v>8</v>
      </c>
      <c r="J21" s="13"/>
    </row>
    <row r="22" customFormat="false" ht="15" hidden="false" customHeight="false" outlineLevel="0" collapsed="false">
      <c r="A22" s="13" t="s">
        <v>718</v>
      </c>
      <c r="B22" s="13" t="s">
        <v>710</v>
      </c>
      <c r="C22" s="13" t="s">
        <v>719</v>
      </c>
      <c r="D22" s="13" t="s">
        <v>720</v>
      </c>
      <c r="E22" s="13" t="s">
        <v>721</v>
      </c>
      <c r="F22" s="14" t="s">
        <v>45</v>
      </c>
      <c r="G22" s="14" t="s">
        <v>46</v>
      </c>
      <c r="H22" s="13"/>
      <c r="I22" s="14" t="s">
        <v>8</v>
      </c>
      <c r="J22" s="13"/>
    </row>
    <row r="23" customFormat="false" ht="15" hidden="false" customHeight="false" outlineLevel="0" collapsed="false">
      <c r="A23" s="13" t="s">
        <v>722</v>
      </c>
      <c r="B23" s="13" t="s">
        <v>710</v>
      </c>
      <c r="C23" s="13" t="s">
        <v>723</v>
      </c>
      <c r="D23" s="13" t="s">
        <v>724</v>
      </c>
      <c r="E23" s="13" t="s">
        <v>725</v>
      </c>
      <c r="F23" s="14" t="s">
        <v>45</v>
      </c>
      <c r="G23" s="14" t="s">
        <v>46</v>
      </c>
      <c r="H23" s="13"/>
      <c r="I23" s="14" t="s">
        <v>8</v>
      </c>
      <c r="J23" s="13"/>
    </row>
    <row r="24" customFormat="false" ht="15" hidden="false" customHeight="false" outlineLevel="0" collapsed="false">
      <c r="A24" s="13" t="s">
        <v>726</v>
      </c>
      <c r="B24" s="13" t="s">
        <v>710</v>
      </c>
      <c r="C24" s="13" t="s">
        <v>727</v>
      </c>
      <c r="D24" s="13" t="s">
        <v>728</v>
      </c>
      <c r="E24" s="13" t="s">
        <v>729</v>
      </c>
      <c r="F24" s="16" t="s">
        <v>62</v>
      </c>
      <c r="G24" s="14" t="s">
        <v>52</v>
      </c>
      <c r="H24" s="13"/>
      <c r="I24" s="14" t="s">
        <v>8</v>
      </c>
      <c r="J24" s="13"/>
    </row>
  </sheetData>
  <autoFilter ref="A1:J24"/>
  <dataValidations count="1">
    <dataValidation allowBlank="false" errorStyle="stop" operator="between" showDropDown="false" showErrorMessage="false" showInputMessage="false" sqref="I2:I24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35.05" hidden="false" customHeight="false" outlineLevel="0" collapsed="false">
      <c r="A2" s="13" t="s">
        <v>730</v>
      </c>
      <c r="B2" s="13" t="s">
        <v>731</v>
      </c>
      <c r="C2" s="13" t="s">
        <v>732</v>
      </c>
      <c r="D2" s="13" t="s">
        <v>733</v>
      </c>
      <c r="E2" s="13" t="s">
        <v>734</v>
      </c>
      <c r="F2" s="14" t="s">
        <v>45</v>
      </c>
      <c r="G2" s="14" t="s">
        <v>46</v>
      </c>
      <c r="H2" s="13"/>
      <c r="I2" s="18" t="s">
        <v>7</v>
      </c>
      <c r="J2" s="13" t="s">
        <v>735</v>
      </c>
    </row>
    <row r="3" customFormat="false" ht="35.05" hidden="false" customHeight="false" outlineLevel="0" collapsed="false">
      <c r="A3" s="13" t="s">
        <v>736</v>
      </c>
      <c r="B3" s="13" t="s">
        <v>731</v>
      </c>
      <c r="C3" s="13" t="s">
        <v>737</v>
      </c>
      <c r="D3" s="13" t="s">
        <v>95</v>
      </c>
      <c r="E3" s="13" t="s">
        <v>738</v>
      </c>
      <c r="F3" s="16" t="s">
        <v>62</v>
      </c>
      <c r="G3" s="14" t="s">
        <v>46</v>
      </c>
      <c r="H3" s="13"/>
      <c r="I3" s="18" t="s">
        <v>7</v>
      </c>
      <c r="J3" s="13" t="s">
        <v>735</v>
      </c>
    </row>
    <row r="4" customFormat="false" ht="35.05" hidden="false" customHeight="false" outlineLevel="0" collapsed="false">
      <c r="A4" s="13" t="s">
        <v>739</v>
      </c>
      <c r="B4" s="13" t="s">
        <v>731</v>
      </c>
      <c r="C4" s="13" t="s">
        <v>740</v>
      </c>
      <c r="D4" s="13" t="s">
        <v>741</v>
      </c>
      <c r="E4" s="13" t="s">
        <v>742</v>
      </c>
      <c r="F4" s="16" t="s">
        <v>62</v>
      </c>
      <c r="G4" s="14" t="s">
        <v>52</v>
      </c>
      <c r="H4" s="13"/>
      <c r="I4" s="18" t="s">
        <v>7</v>
      </c>
      <c r="J4" s="13" t="s">
        <v>735</v>
      </c>
    </row>
    <row r="5" customFormat="false" ht="35.05" hidden="false" customHeight="false" outlineLevel="0" collapsed="false">
      <c r="A5" s="13" t="s">
        <v>743</v>
      </c>
      <c r="B5" s="13" t="s">
        <v>731</v>
      </c>
      <c r="C5" s="13" t="s">
        <v>744</v>
      </c>
      <c r="D5" s="13" t="s">
        <v>745</v>
      </c>
      <c r="E5" s="13" t="s">
        <v>729</v>
      </c>
      <c r="F5" s="16" t="s">
        <v>62</v>
      </c>
      <c r="G5" s="14" t="s">
        <v>139</v>
      </c>
      <c r="H5" s="13"/>
      <c r="I5" s="18" t="s">
        <v>7</v>
      </c>
      <c r="J5" s="13" t="s">
        <v>735</v>
      </c>
    </row>
    <row r="6" customFormat="false" ht="35.05" hidden="false" customHeight="false" outlineLevel="0" collapsed="false">
      <c r="A6" s="13" t="s">
        <v>746</v>
      </c>
      <c r="B6" s="13" t="s">
        <v>731</v>
      </c>
      <c r="C6" s="13" t="s">
        <v>747</v>
      </c>
      <c r="D6" s="13" t="s">
        <v>748</v>
      </c>
      <c r="E6" s="13" t="s">
        <v>749</v>
      </c>
      <c r="F6" s="14" t="s">
        <v>45</v>
      </c>
      <c r="G6" s="14" t="s">
        <v>52</v>
      </c>
      <c r="H6" s="13"/>
      <c r="I6" s="18" t="s">
        <v>7</v>
      </c>
      <c r="J6" s="13" t="s">
        <v>735</v>
      </c>
    </row>
    <row r="7" customFormat="false" ht="35.05" hidden="false" customHeight="false" outlineLevel="0" collapsed="false">
      <c r="A7" s="13" t="s">
        <v>750</v>
      </c>
      <c r="B7" s="13" t="s">
        <v>751</v>
      </c>
      <c r="C7" s="13" t="s">
        <v>752</v>
      </c>
      <c r="D7" s="13" t="s">
        <v>753</v>
      </c>
      <c r="E7" s="13" t="s">
        <v>754</v>
      </c>
      <c r="F7" s="14" t="s">
        <v>45</v>
      </c>
      <c r="G7" s="14" t="s">
        <v>46</v>
      </c>
      <c r="H7" s="13"/>
      <c r="I7" s="18" t="s">
        <v>7</v>
      </c>
      <c r="J7" s="13" t="s">
        <v>735</v>
      </c>
    </row>
    <row r="8" customFormat="false" ht="35.05" hidden="false" customHeight="false" outlineLevel="0" collapsed="false">
      <c r="A8" s="13" t="s">
        <v>755</v>
      </c>
      <c r="B8" s="13" t="s">
        <v>756</v>
      </c>
      <c r="C8" s="13" t="s">
        <v>756</v>
      </c>
      <c r="D8" s="13" t="s">
        <v>757</v>
      </c>
      <c r="E8" s="13" t="s">
        <v>758</v>
      </c>
      <c r="F8" s="14" t="s">
        <v>45</v>
      </c>
      <c r="G8" s="14" t="s">
        <v>46</v>
      </c>
      <c r="H8" s="13"/>
      <c r="I8" s="18" t="s">
        <v>7</v>
      </c>
      <c r="J8" s="13" t="s">
        <v>735</v>
      </c>
    </row>
    <row r="9" customFormat="false" ht="35.05" hidden="false" customHeight="false" outlineLevel="0" collapsed="false">
      <c r="A9" s="13" t="s">
        <v>759</v>
      </c>
      <c r="B9" s="13" t="s">
        <v>756</v>
      </c>
      <c r="C9" s="13" t="s">
        <v>760</v>
      </c>
      <c r="D9" s="13" t="s">
        <v>406</v>
      </c>
      <c r="E9" s="13" t="s">
        <v>761</v>
      </c>
      <c r="F9" s="16" t="s">
        <v>62</v>
      </c>
      <c r="G9" s="14" t="s">
        <v>52</v>
      </c>
      <c r="H9" s="13"/>
      <c r="I9" s="18" t="s">
        <v>7</v>
      </c>
      <c r="J9" s="13" t="s">
        <v>735</v>
      </c>
    </row>
    <row r="10" customFormat="false" ht="35.05" hidden="false" customHeight="false" outlineLevel="0" collapsed="false">
      <c r="A10" s="13" t="s">
        <v>762</v>
      </c>
      <c r="B10" s="13" t="s">
        <v>763</v>
      </c>
      <c r="C10" s="13" t="s">
        <v>764</v>
      </c>
      <c r="D10" s="13" t="s">
        <v>765</v>
      </c>
      <c r="E10" s="13" t="s">
        <v>766</v>
      </c>
      <c r="F10" s="14" t="s">
        <v>45</v>
      </c>
      <c r="G10" s="14" t="s">
        <v>46</v>
      </c>
      <c r="H10" s="13"/>
      <c r="I10" s="18" t="s">
        <v>7</v>
      </c>
      <c r="J10" s="13" t="s">
        <v>735</v>
      </c>
    </row>
    <row r="11" customFormat="false" ht="35.05" hidden="false" customHeight="false" outlineLevel="0" collapsed="false">
      <c r="A11" s="13" t="s">
        <v>767</v>
      </c>
      <c r="B11" s="13" t="s">
        <v>763</v>
      </c>
      <c r="C11" s="13" t="s">
        <v>768</v>
      </c>
      <c r="D11" s="13" t="s">
        <v>769</v>
      </c>
      <c r="E11" s="13" t="s">
        <v>770</v>
      </c>
      <c r="F11" s="16" t="s">
        <v>62</v>
      </c>
      <c r="G11" s="14" t="s">
        <v>52</v>
      </c>
      <c r="H11" s="13"/>
      <c r="I11" s="18" t="s">
        <v>7</v>
      </c>
      <c r="J11" s="13" t="s">
        <v>735</v>
      </c>
    </row>
    <row r="12" customFormat="false" ht="35.05" hidden="false" customHeight="false" outlineLevel="0" collapsed="false">
      <c r="A12" s="13" t="s">
        <v>771</v>
      </c>
      <c r="B12" s="13" t="s">
        <v>763</v>
      </c>
      <c r="C12" s="13" t="s">
        <v>772</v>
      </c>
      <c r="D12" s="13" t="s">
        <v>773</v>
      </c>
      <c r="E12" s="13" t="s">
        <v>761</v>
      </c>
      <c r="F12" s="16" t="s">
        <v>62</v>
      </c>
      <c r="G12" s="14" t="s">
        <v>52</v>
      </c>
      <c r="H12" s="13"/>
      <c r="I12" s="18" t="s">
        <v>7</v>
      </c>
      <c r="J12" s="13" t="s">
        <v>735</v>
      </c>
    </row>
    <row r="13" customFormat="false" ht="35.05" hidden="false" customHeight="false" outlineLevel="0" collapsed="false">
      <c r="A13" s="13" t="s">
        <v>774</v>
      </c>
      <c r="B13" s="13" t="s">
        <v>775</v>
      </c>
      <c r="C13" s="13" t="s">
        <v>776</v>
      </c>
      <c r="D13" s="13" t="s">
        <v>777</v>
      </c>
      <c r="E13" s="13" t="s">
        <v>778</v>
      </c>
      <c r="F13" s="14" t="s">
        <v>45</v>
      </c>
      <c r="G13" s="14" t="s">
        <v>46</v>
      </c>
      <c r="H13" s="13"/>
      <c r="I13" s="18" t="s">
        <v>7</v>
      </c>
      <c r="J13" s="13" t="s">
        <v>735</v>
      </c>
    </row>
    <row r="14" customFormat="false" ht="35.05" hidden="false" customHeight="false" outlineLevel="0" collapsed="false">
      <c r="A14" s="13" t="s">
        <v>779</v>
      </c>
      <c r="B14" s="13" t="s">
        <v>780</v>
      </c>
      <c r="C14" s="13" t="s">
        <v>781</v>
      </c>
      <c r="D14" s="13" t="s">
        <v>782</v>
      </c>
      <c r="E14" s="13" t="s">
        <v>783</v>
      </c>
      <c r="F14" s="14" t="s">
        <v>45</v>
      </c>
      <c r="G14" s="14" t="s">
        <v>46</v>
      </c>
      <c r="H14" s="13"/>
      <c r="I14" s="18" t="s">
        <v>7</v>
      </c>
      <c r="J14" s="13" t="s">
        <v>735</v>
      </c>
    </row>
    <row r="15" customFormat="false" ht="35.05" hidden="false" customHeight="false" outlineLevel="0" collapsed="false">
      <c r="A15" s="13" t="s">
        <v>784</v>
      </c>
      <c r="B15" s="13" t="s">
        <v>780</v>
      </c>
      <c r="C15" s="13" t="s">
        <v>785</v>
      </c>
      <c r="D15" s="13" t="s">
        <v>786</v>
      </c>
      <c r="E15" s="13" t="s">
        <v>787</v>
      </c>
      <c r="F15" s="14" t="s">
        <v>45</v>
      </c>
      <c r="G15" s="14" t="s">
        <v>139</v>
      </c>
      <c r="H15" s="13"/>
      <c r="I15" s="18" t="s">
        <v>7</v>
      </c>
      <c r="J15" s="13" t="s">
        <v>735</v>
      </c>
    </row>
    <row r="16" customFormat="false" ht="35.05" hidden="false" customHeight="false" outlineLevel="0" collapsed="false">
      <c r="A16" s="13" t="s">
        <v>788</v>
      </c>
      <c r="B16" s="13" t="s">
        <v>622</v>
      </c>
      <c r="C16" s="13" t="s">
        <v>789</v>
      </c>
      <c r="D16" s="13" t="s">
        <v>790</v>
      </c>
      <c r="E16" s="13" t="s">
        <v>791</v>
      </c>
      <c r="F16" s="16" t="s">
        <v>62</v>
      </c>
      <c r="G16" s="14" t="s">
        <v>46</v>
      </c>
      <c r="H16" s="13"/>
      <c r="I16" s="18" t="s">
        <v>7</v>
      </c>
      <c r="J16" s="13" t="s">
        <v>735</v>
      </c>
    </row>
    <row r="17" customFormat="false" ht="35.05" hidden="false" customHeight="false" outlineLevel="0" collapsed="false">
      <c r="A17" s="13" t="s">
        <v>792</v>
      </c>
      <c r="B17" s="13" t="s">
        <v>793</v>
      </c>
      <c r="C17" s="13" t="s">
        <v>794</v>
      </c>
      <c r="D17" s="13" t="s">
        <v>795</v>
      </c>
      <c r="E17" s="13" t="s">
        <v>796</v>
      </c>
      <c r="F17" s="16" t="s">
        <v>62</v>
      </c>
      <c r="G17" s="14" t="s">
        <v>46</v>
      </c>
      <c r="H17" s="13"/>
      <c r="I17" s="18" t="s">
        <v>7</v>
      </c>
      <c r="J17" s="13" t="s">
        <v>735</v>
      </c>
    </row>
    <row r="18" customFormat="false" ht="35.05" hidden="false" customHeight="false" outlineLevel="0" collapsed="false">
      <c r="A18" s="13" t="s">
        <v>797</v>
      </c>
      <c r="B18" s="13" t="s">
        <v>798</v>
      </c>
      <c r="C18" s="13" t="s">
        <v>799</v>
      </c>
      <c r="D18" s="13" t="s">
        <v>800</v>
      </c>
      <c r="E18" s="13" t="s">
        <v>801</v>
      </c>
      <c r="F18" s="14" t="s">
        <v>45</v>
      </c>
      <c r="G18" s="14" t="s">
        <v>52</v>
      </c>
      <c r="H18" s="13"/>
      <c r="I18" s="18" t="s">
        <v>7</v>
      </c>
      <c r="J18" s="13" t="s">
        <v>735</v>
      </c>
    </row>
  </sheetData>
  <autoFilter ref="A1:J18"/>
  <dataValidations count="1">
    <dataValidation allowBlank="false" errorStyle="stop" operator="between" showDropDown="false" showErrorMessage="false" showInputMessage="false" sqref="I2:I18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35.05" hidden="false" customHeight="false" outlineLevel="0" collapsed="false">
      <c r="A2" s="13" t="s">
        <v>802</v>
      </c>
      <c r="B2" s="13" t="s">
        <v>803</v>
      </c>
      <c r="C2" s="13" t="s">
        <v>804</v>
      </c>
      <c r="D2" s="13" t="s">
        <v>805</v>
      </c>
      <c r="E2" s="13" t="s">
        <v>806</v>
      </c>
      <c r="F2" s="14" t="s">
        <v>45</v>
      </c>
      <c r="G2" s="14" t="s">
        <v>46</v>
      </c>
      <c r="H2" s="13"/>
      <c r="I2" s="18" t="s">
        <v>7</v>
      </c>
      <c r="J2" s="13" t="s">
        <v>735</v>
      </c>
    </row>
    <row r="3" customFormat="false" ht="35.05" hidden="false" customHeight="false" outlineLevel="0" collapsed="false">
      <c r="A3" s="13" t="s">
        <v>807</v>
      </c>
      <c r="B3" s="13" t="s">
        <v>803</v>
      </c>
      <c r="C3" s="13" t="s">
        <v>808</v>
      </c>
      <c r="D3" s="13" t="s">
        <v>809</v>
      </c>
      <c r="E3" s="13" t="s">
        <v>810</v>
      </c>
      <c r="F3" s="16" t="s">
        <v>62</v>
      </c>
      <c r="G3" s="14" t="s">
        <v>52</v>
      </c>
      <c r="H3" s="13"/>
      <c r="I3" s="18" t="s">
        <v>7</v>
      </c>
      <c r="J3" s="13" t="s">
        <v>735</v>
      </c>
    </row>
    <row r="4" customFormat="false" ht="35.05" hidden="false" customHeight="false" outlineLevel="0" collapsed="false">
      <c r="A4" s="13" t="s">
        <v>811</v>
      </c>
      <c r="B4" s="13" t="s">
        <v>803</v>
      </c>
      <c r="C4" s="13" t="s">
        <v>772</v>
      </c>
      <c r="D4" s="13" t="s">
        <v>773</v>
      </c>
      <c r="E4" s="13" t="s">
        <v>761</v>
      </c>
      <c r="F4" s="16" t="s">
        <v>62</v>
      </c>
      <c r="G4" s="14" t="s">
        <v>52</v>
      </c>
      <c r="H4" s="13"/>
      <c r="I4" s="18" t="s">
        <v>7</v>
      </c>
      <c r="J4" s="13" t="s">
        <v>735</v>
      </c>
    </row>
    <row r="5" customFormat="false" ht="35.05" hidden="false" customHeight="false" outlineLevel="0" collapsed="false">
      <c r="A5" s="13" t="s">
        <v>812</v>
      </c>
      <c r="B5" s="13" t="s">
        <v>813</v>
      </c>
      <c r="C5" s="13" t="s">
        <v>814</v>
      </c>
      <c r="D5" s="13" t="s">
        <v>815</v>
      </c>
      <c r="E5" s="13" t="s">
        <v>816</v>
      </c>
      <c r="F5" s="14" t="s">
        <v>45</v>
      </c>
      <c r="G5" s="14" t="s">
        <v>46</v>
      </c>
      <c r="H5" s="13"/>
      <c r="I5" s="18" t="s">
        <v>7</v>
      </c>
      <c r="J5" s="13" t="s">
        <v>735</v>
      </c>
    </row>
    <row r="6" customFormat="false" ht="35.05" hidden="false" customHeight="false" outlineLevel="0" collapsed="false">
      <c r="A6" s="13" t="s">
        <v>817</v>
      </c>
      <c r="B6" s="13" t="s">
        <v>813</v>
      </c>
      <c r="C6" s="13" t="s">
        <v>818</v>
      </c>
      <c r="D6" s="13" t="s">
        <v>819</v>
      </c>
      <c r="E6" s="13" t="s">
        <v>820</v>
      </c>
      <c r="F6" s="16" t="s">
        <v>62</v>
      </c>
      <c r="G6" s="14" t="s">
        <v>139</v>
      </c>
      <c r="H6" s="13"/>
      <c r="I6" s="18" t="s">
        <v>7</v>
      </c>
      <c r="J6" s="13" t="s">
        <v>735</v>
      </c>
    </row>
    <row r="7" customFormat="false" ht="35.05" hidden="false" customHeight="false" outlineLevel="0" collapsed="false">
      <c r="A7" s="13" t="s">
        <v>821</v>
      </c>
      <c r="B7" s="13" t="s">
        <v>822</v>
      </c>
      <c r="C7" s="13" t="s">
        <v>823</v>
      </c>
      <c r="D7" s="13" t="s">
        <v>824</v>
      </c>
      <c r="E7" s="13" t="s">
        <v>825</v>
      </c>
      <c r="F7" s="14" t="s">
        <v>45</v>
      </c>
      <c r="G7" s="14" t="s">
        <v>46</v>
      </c>
      <c r="H7" s="13"/>
      <c r="I7" s="18" t="s">
        <v>7</v>
      </c>
      <c r="J7" s="13" t="s">
        <v>735</v>
      </c>
    </row>
    <row r="8" customFormat="false" ht="35.05" hidden="false" customHeight="false" outlineLevel="0" collapsed="false">
      <c r="A8" s="13" t="s">
        <v>826</v>
      </c>
      <c r="B8" s="13" t="s">
        <v>822</v>
      </c>
      <c r="C8" s="13" t="s">
        <v>827</v>
      </c>
      <c r="D8" s="13" t="s">
        <v>828</v>
      </c>
      <c r="E8" s="13" t="s">
        <v>829</v>
      </c>
      <c r="F8" s="14" t="s">
        <v>45</v>
      </c>
      <c r="G8" s="14" t="s">
        <v>139</v>
      </c>
      <c r="H8" s="13"/>
      <c r="I8" s="18" t="s">
        <v>7</v>
      </c>
      <c r="J8" s="13" t="s">
        <v>735</v>
      </c>
    </row>
    <row r="9" customFormat="false" ht="35.05" hidden="false" customHeight="false" outlineLevel="0" collapsed="false">
      <c r="A9" s="13" t="s">
        <v>830</v>
      </c>
      <c r="B9" s="13" t="s">
        <v>831</v>
      </c>
      <c r="C9" s="13" t="s">
        <v>832</v>
      </c>
      <c r="D9" s="13" t="s">
        <v>833</v>
      </c>
      <c r="E9" s="13" t="s">
        <v>834</v>
      </c>
      <c r="F9" s="14" t="s">
        <v>45</v>
      </c>
      <c r="G9" s="14" t="s">
        <v>46</v>
      </c>
      <c r="H9" s="13"/>
      <c r="I9" s="18" t="s">
        <v>7</v>
      </c>
      <c r="J9" s="13" t="s">
        <v>735</v>
      </c>
    </row>
    <row r="10" customFormat="false" ht="35.05" hidden="false" customHeight="false" outlineLevel="0" collapsed="false">
      <c r="A10" s="13" t="s">
        <v>835</v>
      </c>
      <c r="B10" s="13" t="s">
        <v>836</v>
      </c>
      <c r="C10" s="13" t="s">
        <v>837</v>
      </c>
      <c r="D10" s="13" t="s">
        <v>838</v>
      </c>
      <c r="E10" s="13" t="s">
        <v>839</v>
      </c>
      <c r="F10" s="14" t="s">
        <v>45</v>
      </c>
      <c r="G10" s="14" t="s">
        <v>46</v>
      </c>
      <c r="H10" s="13"/>
      <c r="I10" s="18" t="s">
        <v>7</v>
      </c>
      <c r="J10" s="13" t="s">
        <v>735</v>
      </c>
    </row>
    <row r="11" customFormat="false" ht="35.05" hidden="false" customHeight="false" outlineLevel="0" collapsed="false">
      <c r="A11" s="13" t="s">
        <v>840</v>
      </c>
      <c r="B11" s="13" t="s">
        <v>793</v>
      </c>
      <c r="C11" s="13" t="s">
        <v>841</v>
      </c>
      <c r="D11" s="13" t="s">
        <v>795</v>
      </c>
      <c r="E11" s="13" t="s">
        <v>842</v>
      </c>
      <c r="F11" s="16" t="s">
        <v>62</v>
      </c>
      <c r="G11" s="14" t="s">
        <v>46</v>
      </c>
      <c r="H11" s="13"/>
      <c r="I11" s="18" t="s">
        <v>7</v>
      </c>
      <c r="J11" s="13" t="s">
        <v>735</v>
      </c>
    </row>
    <row r="12" customFormat="false" ht="35.05" hidden="false" customHeight="false" outlineLevel="0" collapsed="false">
      <c r="A12" s="13" t="s">
        <v>843</v>
      </c>
      <c r="B12" s="13" t="s">
        <v>622</v>
      </c>
      <c r="C12" s="13" t="s">
        <v>844</v>
      </c>
      <c r="D12" s="13" t="s">
        <v>845</v>
      </c>
      <c r="E12" s="13" t="s">
        <v>846</v>
      </c>
      <c r="F12" s="16" t="s">
        <v>62</v>
      </c>
      <c r="G12" s="14" t="s">
        <v>46</v>
      </c>
      <c r="H12" s="13"/>
      <c r="I12" s="18" t="s">
        <v>7</v>
      </c>
      <c r="J12" s="13" t="s">
        <v>735</v>
      </c>
    </row>
    <row r="13" customFormat="false" ht="35.05" hidden="false" customHeight="false" outlineLevel="0" collapsed="false">
      <c r="A13" s="13" t="s">
        <v>847</v>
      </c>
      <c r="B13" s="13" t="s">
        <v>848</v>
      </c>
      <c r="C13" s="13" t="s">
        <v>849</v>
      </c>
      <c r="D13" s="13" t="s">
        <v>850</v>
      </c>
      <c r="E13" s="13" t="s">
        <v>851</v>
      </c>
      <c r="F13" s="14" t="s">
        <v>45</v>
      </c>
      <c r="G13" s="14" t="s">
        <v>139</v>
      </c>
      <c r="H13" s="13"/>
      <c r="I13" s="18" t="s">
        <v>7</v>
      </c>
      <c r="J13" s="13" t="s">
        <v>735</v>
      </c>
    </row>
  </sheetData>
  <autoFilter ref="A1:J13"/>
  <dataValidations count="1">
    <dataValidation allowBlank="false" errorStyle="stop" operator="between" showDropDown="false" showErrorMessage="false" showInputMessage="false" sqref="I2:I13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</row>
    <row r="2" customFormat="false" ht="23.85" hidden="false" customHeight="false" outlineLevel="0" collapsed="false">
      <c r="A2" s="13" t="s">
        <v>852</v>
      </c>
      <c r="B2" s="13" t="s">
        <v>371</v>
      </c>
      <c r="C2" s="13" t="s">
        <v>853</v>
      </c>
      <c r="D2" s="13" t="s">
        <v>854</v>
      </c>
      <c r="E2" s="13" t="s">
        <v>855</v>
      </c>
      <c r="F2" s="14" t="s">
        <v>45</v>
      </c>
      <c r="G2" s="14" t="s">
        <v>46</v>
      </c>
      <c r="H2" s="13" t="s">
        <v>856</v>
      </c>
      <c r="I2" s="15" t="s">
        <v>5</v>
      </c>
      <c r="J2" s="13" t="s">
        <v>857</v>
      </c>
    </row>
    <row r="3" customFormat="false" ht="23.85" hidden="false" customHeight="false" outlineLevel="0" collapsed="false">
      <c r="A3" s="13" t="s">
        <v>858</v>
      </c>
      <c r="B3" s="13" t="s">
        <v>575</v>
      </c>
      <c r="C3" s="13" t="s">
        <v>859</v>
      </c>
      <c r="D3" s="13" t="s">
        <v>516</v>
      </c>
      <c r="E3" s="13" t="s">
        <v>860</v>
      </c>
      <c r="F3" s="14" t="s">
        <v>45</v>
      </c>
      <c r="G3" s="14" t="s">
        <v>46</v>
      </c>
      <c r="H3" s="13" t="s">
        <v>861</v>
      </c>
      <c r="I3" s="15" t="s">
        <v>5</v>
      </c>
      <c r="J3" s="13"/>
    </row>
    <row r="4" customFormat="false" ht="35.05" hidden="false" customHeight="false" outlineLevel="0" collapsed="false">
      <c r="A4" s="13" t="s">
        <v>862</v>
      </c>
      <c r="B4" s="13" t="s">
        <v>863</v>
      </c>
      <c r="C4" s="13" t="s">
        <v>864</v>
      </c>
      <c r="D4" s="13" t="s">
        <v>516</v>
      </c>
      <c r="E4" s="13" t="s">
        <v>855</v>
      </c>
      <c r="F4" s="14" t="s">
        <v>45</v>
      </c>
      <c r="G4" s="14" t="s">
        <v>46</v>
      </c>
      <c r="H4" s="13" t="s">
        <v>865</v>
      </c>
      <c r="I4" s="17" t="s">
        <v>6</v>
      </c>
      <c r="J4" s="13" t="s">
        <v>866</v>
      </c>
    </row>
    <row r="5" customFormat="false" ht="23.85" hidden="false" customHeight="false" outlineLevel="0" collapsed="false">
      <c r="A5" s="13" t="s">
        <v>867</v>
      </c>
      <c r="B5" s="13" t="s">
        <v>868</v>
      </c>
      <c r="C5" s="13" t="s">
        <v>869</v>
      </c>
      <c r="D5" s="13" t="s">
        <v>516</v>
      </c>
      <c r="E5" s="13" t="s">
        <v>855</v>
      </c>
      <c r="F5" s="14" t="s">
        <v>45</v>
      </c>
      <c r="G5" s="14" t="s">
        <v>46</v>
      </c>
      <c r="H5" s="13" t="s">
        <v>870</v>
      </c>
      <c r="I5" s="17" t="s">
        <v>6</v>
      </c>
      <c r="J5" s="13" t="s">
        <v>866</v>
      </c>
    </row>
    <row r="6" customFormat="false" ht="23.85" hidden="false" customHeight="false" outlineLevel="0" collapsed="false">
      <c r="A6" s="13" t="s">
        <v>871</v>
      </c>
      <c r="B6" s="13" t="s">
        <v>872</v>
      </c>
      <c r="C6" s="13" t="s">
        <v>873</v>
      </c>
      <c r="D6" s="13" t="s">
        <v>516</v>
      </c>
      <c r="E6" s="13" t="s">
        <v>855</v>
      </c>
      <c r="F6" s="14" t="s">
        <v>45</v>
      </c>
      <c r="G6" s="14" t="s">
        <v>52</v>
      </c>
      <c r="H6" s="13" t="s">
        <v>874</v>
      </c>
      <c r="I6" s="14" t="s">
        <v>8</v>
      </c>
      <c r="J6" s="13" t="s">
        <v>875</v>
      </c>
    </row>
    <row r="7" customFormat="false" ht="23.85" hidden="false" customHeight="false" outlineLevel="0" collapsed="false">
      <c r="A7" s="13" t="s">
        <v>876</v>
      </c>
      <c r="B7" s="13" t="s">
        <v>877</v>
      </c>
      <c r="C7" s="13" t="s">
        <v>878</v>
      </c>
      <c r="D7" s="13" t="s">
        <v>516</v>
      </c>
      <c r="E7" s="13" t="s">
        <v>855</v>
      </c>
      <c r="F7" s="14" t="s">
        <v>45</v>
      </c>
      <c r="G7" s="14" t="s">
        <v>52</v>
      </c>
      <c r="H7" s="13" t="s">
        <v>874</v>
      </c>
      <c r="I7" s="14" t="s">
        <v>8</v>
      </c>
      <c r="J7" s="13" t="s">
        <v>875</v>
      </c>
    </row>
    <row r="8" customFormat="false" ht="23.85" hidden="false" customHeight="false" outlineLevel="0" collapsed="false">
      <c r="A8" s="13" t="s">
        <v>879</v>
      </c>
      <c r="B8" s="13" t="s">
        <v>880</v>
      </c>
      <c r="C8" s="13" t="s">
        <v>881</v>
      </c>
      <c r="D8" s="13" t="s">
        <v>516</v>
      </c>
      <c r="E8" s="13" t="s">
        <v>855</v>
      </c>
      <c r="F8" s="14" t="s">
        <v>45</v>
      </c>
      <c r="G8" s="14" t="s">
        <v>52</v>
      </c>
      <c r="H8" s="13" t="s">
        <v>874</v>
      </c>
      <c r="I8" s="14" t="s">
        <v>8</v>
      </c>
      <c r="J8" s="13" t="s">
        <v>875</v>
      </c>
    </row>
    <row r="9" customFormat="false" ht="15" hidden="false" customHeight="false" outlineLevel="0" collapsed="false">
      <c r="A9" s="13" t="s">
        <v>882</v>
      </c>
      <c r="B9" s="13" t="s">
        <v>883</v>
      </c>
      <c r="C9" s="13" t="s">
        <v>884</v>
      </c>
      <c r="D9" s="13" t="s">
        <v>885</v>
      </c>
      <c r="E9" s="13" t="s">
        <v>886</v>
      </c>
      <c r="F9" s="14" t="s">
        <v>45</v>
      </c>
      <c r="G9" s="14" t="s">
        <v>46</v>
      </c>
      <c r="H9" s="13"/>
      <c r="I9" s="14" t="s">
        <v>8</v>
      </c>
      <c r="J9" s="13"/>
    </row>
    <row r="10" customFormat="false" ht="15" hidden="false" customHeight="false" outlineLevel="0" collapsed="false">
      <c r="A10" s="13" t="s">
        <v>887</v>
      </c>
      <c r="B10" s="13" t="s">
        <v>888</v>
      </c>
      <c r="C10" s="13" t="s">
        <v>889</v>
      </c>
      <c r="D10" s="13" t="s">
        <v>890</v>
      </c>
      <c r="E10" s="13" t="s">
        <v>886</v>
      </c>
      <c r="F10" s="14" t="s">
        <v>45</v>
      </c>
      <c r="G10" s="14" t="s">
        <v>46</v>
      </c>
      <c r="H10" s="13"/>
      <c r="I10" s="14" t="s">
        <v>8</v>
      </c>
      <c r="J10" s="13"/>
    </row>
    <row r="11" customFormat="false" ht="15" hidden="false" customHeight="false" outlineLevel="0" collapsed="false">
      <c r="A11" s="13" t="s">
        <v>891</v>
      </c>
      <c r="B11" s="13" t="s">
        <v>892</v>
      </c>
      <c r="C11" s="13" t="s">
        <v>893</v>
      </c>
      <c r="D11" s="13" t="s">
        <v>894</v>
      </c>
      <c r="E11" s="13" t="s">
        <v>895</v>
      </c>
      <c r="F11" s="14" t="s">
        <v>45</v>
      </c>
      <c r="G11" s="14" t="s">
        <v>52</v>
      </c>
      <c r="H11" s="13"/>
      <c r="I11" s="14" t="s">
        <v>8</v>
      </c>
      <c r="J11" s="13"/>
    </row>
    <row r="12" customFormat="false" ht="35.05" hidden="false" customHeight="false" outlineLevel="0" collapsed="false">
      <c r="A12" s="13" t="s">
        <v>896</v>
      </c>
      <c r="B12" s="13" t="s">
        <v>897</v>
      </c>
      <c r="C12" s="13" t="s">
        <v>898</v>
      </c>
      <c r="D12" s="13" t="s">
        <v>899</v>
      </c>
      <c r="E12" s="13" t="s">
        <v>900</v>
      </c>
      <c r="F12" s="14" t="s">
        <v>45</v>
      </c>
      <c r="G12" s="14" t="s">
        <v>46</v>
      </c>
      <c r="H12" s="13" t="s">
        <v>901</v>
      </c>
      <c r="I12" s="15" t="s">
        <v>5</v>
      </c>
      <c r="J12" s="13" t="s">
        <v>902</v>
      </c>
    </row>
    <row r="13" customFormat="false" ht="15" hidden="false" customHeight="false" outlineLevel="0" collapsed="false">
      <c r="A13" s="13" t="s">
        <v>903</v>
      </c>
      <c r="B13" s="13" t="s">
        <v>904</v>
      </c>
      <c r="C13" s="13" t="s">
        <v>905</v>
      </c>
      <c r="D13" s="13" t="s">
        <v>906</v>
      </c>
      <c r="E13" s="13" t="s">
        <v>907</v>
      </c>
      <c r="F13" s="14" t="s">
        <v>45</v>
      </c>
      <c r="G13" s="14" t="s">
        <v>139</v>
      </c>
      <c r="H13" s="13"/>
      <c r="I13" s="14" t="s">
        <v>8</v>
      </c>
      <c r="J13" s="13"/>
    </row>
  </sheetData>
  <autoFilter ref="A1:J13"/>
  <dataValidations count="1">
    <dataValidation allowBlank="false" errorStyle="stop" operator="between" showDropDown="false" showErrorMessage="false" showInputMessage="false" sqref="I2:I13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2026-10-28T09:53:53Z</dcterms:created>
  <dc:creator>openpyxl</dc:creator>
  <dc:description/>
  <dc:language>en-US</dc:language>
  <cp:lastModifiedBy/>
  <dcterms:modified xsi:type="dcterms:W3CDTF">2026-10-28T09:53:53Z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